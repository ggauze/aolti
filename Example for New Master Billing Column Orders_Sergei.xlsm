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ringauze.ISTREAMPLANET\Dropbox\Karla\Billing\"/>
    </mc:Choice>
  </mc:AlternateContent>
  <bookViews>
    <workbookView xWindow="0" yWindow="460" windowWidth="33600" windowHeight="20460" activeTab="2"/>
  </bookViews>
  <sheets>
    <sheet name="Example From Master" sheetId="1" r:id="rId1"/>
    <sheet name="InterpBilling" sheetId="2" r:id="rId2"/>
    <sheet name="InterpBilling (11)" sheetId="18" r:id="rId3"/>
    <sheet name="InterpBilling (10)" sheetId="17" r:id="rId4"/>
    <sheet name="InterpBilling (9)" sheetId="16" r:id="rId5"/>
    <sheet name="InterpBilling (8)" sheetId="15" r:id="rId6"/>
    <sheet name="InterpBilling (7)" sheetId="14" r:id="rId7"/>
    <sheet name="InterpBilling (6)" sheetId="13" r:id="rId8"/>
    <sheet name="InterpBilling (5)" sheetId="12" r:id="rId9"/>
    <sheet name="InterpBilling (4)" sheetId="11" r:id="rId10"/>
    <sheet name="InterpBilling (3)" sheetId="10" r:id="rId11"/>
    <sheet name="InterpBilling (2)" sheetId="9" r:id="rId12"/>
  </sheets>
  <functionGroups builtInGroupCount="18"/>
  <definedNames>
    <definedName name="_xlnm._FilterDatabase" localSheetId="0" hidden="1">'Example From Master'!$A$1:$Z$304</definedName>
    <definedName name="_xlnm._FilterDatabase" localSheetId="8" hidden="1">'InterpBilling (5)'!$A$1:$Y$216</definedName>
  </definedNames>
  <calcPr calcId="171027" calcMode="manual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16" i="18" l="1"/>
  <c r="V216" i="18"/>
  <c r="W215" i="18"/>
  <c r="V215" i="18"/>
  <c r="W214" i="18"/>
  <c r="V214" i="18"/>
  <c r="W213" i="18"/>
  <c r="V213" i="18"/>
  <c r="W212" i="18"/>
  <c r="V212" i="18"/>
  <c r="W211" i="18"/>
  <c r="V211" i="18"/>
  <c r="W210" i="18"/>
  <c r="V210" i="18"/>
  <c r="W209" i="18"/>
  <c r="V209" i="18"/>
  <c r="W208" i="18"/>
  <c r="V208" i="18"/>
  <c r="W207" i="18"/>
  <c r="V207" i="18"/>
  <c r="W206" i="18"/>
  <c r="V206" i="18"/>
  <c r="W205" i="18"/>
  <c r="V205" i="18"/>
  <c r="W204" i="18"/>
  <c r="V204" i="18"/>
  <c r="W203" i="18"/>
  <c r="V203" i="18"/>
  <c r="W202" i="18"/>
  <c r="V202" i="18"/>
  <c r="W201" i="18"/>
  <c r="V201" i="18"/>
  <c r="W200" i="18"/>
  <c r="V200" i="18"/>
  <c r="W199" i="18"/>
  <c r="V199" i="18"/>
  <c r="W198" i="18"/>
  <c r="V198" i="18"/>
  <c r="W197" i="18"/>
  <c r="V197" i="18"/>
  <c r="W196" i="18"/>
  <c r="V196" i="18"/>
  <c r="W195" i="18"/>
  <c r="V195" i="18"/>
  <c r="W194" i="18"/>
  <c r="V194" i="18"/>
  <c r="W193" i="18"/>
  <c r="V193" i="18"/>
  <c r="W192" i="18"/>
  <c r="V192" i="18"/>
  <c r="W191" i="18"/>
  <c r="V191" i="18"/>
  <c r="W190" i="18"/>
  <c r="V190" i="18"/>
  <c r="W189" i="18"/>
  <c r="V189" i="18"/>
  <c r="W188" i="18"/>
  <c r="V188" i="18"/>
  <c r="W187" i="18"/>
  <c r="V187" i="18"/>
  <c r="W186" i="18"/>
  <c r="V186" i="18"/>
  <c r="W185" i="18"/>
  <c r="V185" i="18"/>
  <c r="W184" i="18"/>
  <c r="V184" i="18"/>
  <c r="W183" i="18"/>
  <c r="V183" i="18"/>
  <c r="W182" i="18"/>
  <c r="V182" i="18"/>
  <c r="W181" i="18"/>
  <c r="V181" i="18"/>
  <c r="W180" i="18"/>
  <c r="V180" i="18"/>
  <c r="W179" i="18"/>
  <c r="V179" i="18"/>
  <c r="W178" i="18"/>
  <c r="V178" i="18"/>
  <c r="W177" i="18"/>
  <c r="V177" i="18"/>
  <c r="W176" i="18"/>
  <c r="V176" i="18"/>
  <c r="W175" i="18"/>
  <c r="V175" i="18"/>
  <c r="W174" i="18"/>
  <c r="V174" i="18"/>
  <c r="W173" i="18"/>
  <c r="V173" i="18"/>
  <c r="W172" i="18"/>
  <c r="V172" i="18"/>
  <c r="W171" i="18"/>
  <c r="V171" i="18"/>
  <c r="W170" i="18"/>
  <c r="V170" i="18"/>
  <c r="W169" i="18"/>
  <c r="V169" i="18"/>
  <c r="W168" i="18"/>
  <c r="V168" i="18"/>
  <c r="W167" i="18"/>
  <c r="V167" i="18"/>
  <c r="W166" i="18"/>
  <c r="V166" i="18"/>
  <c r="W165" i="18"/>
  <c r="V165" i="18"/>
  <c r="W164" i="18"/>
  <c r="V164" i="18"/>
  <c r="W163" i="18"/>
  <c r="V163" i="18"/>
  <c r="W162" i="18"/>
  <c r="V162" i="18"/>
  <c r="W161" i="18"/>
  <c r="V161" i="18"/>
  <c r="W160" i="18"/>
  <c r="V160" i="18"/>
  <c r="W159" i="18"/>
  <c r="V159" i="18"/>
  <c r="W158" i="18"/>
  <c r="V158" i="18"/>
  <c r="W157" i="18"/>
  <c r="V157" i="18"/>
  <c r="W156" i="18"/>
  <c r="V156" i="18"/>
  <c r="W155" i="18"/>
  <c r="V155" i="18"/>
  <c r="W154" i="18"/>
  <c r="V154" i="18"/>
  <c r="W153" i="18"/>
  <c r="V153" i="18"/>
  <c r="W152" i="18"/>
  <c r="V152" i="18"/>
  <c r="W151" i="18"/>
  <c r="V151" i="18"/>
  <c r="W150" i="18"/>
  <c r="V150" i="18"/>
  <c r="W149" i="18"/>
  <c r="V149" i="18"/>
  <c r="W148" i="18"/>
  <c r="V148" i="18"/>
  <c r="W147" i="18"/>
  <c r="V147" i="18"/>
  <c r="W146" i="18"/>
  <c r="V146" i="18"/>
  <c r="W145" i="18"/>
  <c r="V145" i="18"/>
  <c r="W144" i="18"/>
  <c r="V144" i="18"/>
  <c r="W143" i="18"/>
  <c r="V143" i="18"/>
  <c r="W142" i="18"/>
  <c r="V142" i="18"/>
  <c r="W141" i="18"/>
  <c r="V141" i="18"/>
  <c r="W140" i="18"/>
  <c r="V140" i="18"/>
  <c r="W139" i="18"/>
  <c r="V139" i="18"/>
  <c r="W138" i="18"/>
  <c r="V138" i="18"/>
  <c r="W137" i="18"/>
  <c r="V137" i="18"/>
  <c r="W136" i="18"/>
  <c r="V136" i="18"/>
  <c r="W135" i="18"/>
  <c r="V135" i="18"/>
  <c r="W134" i="18"/>
  <c r="V134" i="18"/>
  <c r="W133" i="18"/>
  <c r="V133" i="18"/>
  <c r="W132" i="18"/>
  <c r="V132" i="18"/>
  <c r="W131" i="18"/>
  <c r="V131" i="18"/>
  <c r="W130" i="18"/>
  <c r="V130" i="18"/>
  <c r="W129" i="18"/>
  <c r="V129" i="18"/>
  <c r="W128" i="18"/>
  <c r="V128" i="18"/>
  <c r="W127" i="18"/>
  <c r="V127" i="18"/>
  <c r="W126" i="18"/>
  <c r="V126" i="18"/>
  <c r="W125" i="18"/>
  <c r="V125" i="18"/>
  <c r="W124" i="18"/>
  <c r="V124" i="18"/>
  <c r="W123" i="18"/>
  <c r="V123" i="18"/>
  <c r="W122" i="18"/>
  <c r="V122" i="18"/>
  <c r="W121" i="18"/>
  <c r="V121" i="18"/>
  <c r="W120" i="18"/>
  <c r="V120" i="18"/>
  <c r="W119" i="18"/>
  <c r="V119" i="18"/>
  <c r="W118" i="18"/>
  <c r="V118" i="18"/>
  <c r="W117" i="18"/>
  <c r="V117" i="18"/>
  <c r="W116" i="18"/>
  <c r="V116" i="18"/>
  <c r="W115" i="18"/>
  <c r="V115" i="18"/>
  <c r="W114" i="18"/>
  <c r="V114" i="18"/>
  <c r="W113" i="18"/>
  <c r="V113" i="18"/>
  <c r="W112" i="18"/>
  <c r="V112" i="18"/>
  <c r="W111" i="18"/>
  <c r="V111" i="18"/>
  <c r="W110" i="18"/>
  <c r="V110" i="18"/>
  <c r="W109" i="18"/>
  <c r="V109" i="18"/>
  <c r="W108" i="18"/>
  <c r="V108" i="18"/>
  <c r="W107" i="18"/>
  <c r="V107" i="18"/>
  <c r="W106" i="18"/>
  <c r="V106" i="18"/>
  <c r="W105" i="18"/>
  <c r="V105" i="18"/>
  <c r="W104" i="18"/>
  <c r="V104" i="18"/>
  <c r="W103" i="18"/>
  <c r="V103" i="18"/>
  <c r="W102" i="18"/>
  <c r="V102" i="18"/>
  <c r="W101" i="18"/>
  <c r="V101" i="18"/>
  <c r="W100" i="18"/>
  <c r="V100" i="18"/>
  <c r="W99" i="18"/>
  <c r="V99" i="18"/>
  <c r="W98" i="18"/>
  <c r="V98" i="18"/>
  <c r="W97" i="18"/>
  <c r="V97" i="18"/>
  <c r="W96" i="18"/>
  <c r="V96" i="18"/>
  <c r="W95" i="18"/>
  <c r="V95" i="18"/>
  <c r="W94" i="18"/>
  <c r="V94" i="18"/>
  <c r="W93" i="18"/>
  <c r="V93" i="18"/>
  <c r="W92" i="18"/>
  <c r="V92" i="18"/>
  <c r="W91" i="18"/>
  <c r="V91" i="18"/>
  <c r="W90" i="18"/>
  <c r="V90" i="18"/>
  <c r="W89" i="18"/>
  <c r="V89" i="18"/>
  <c r="W88" i="18"/>
  <c r="V88" i="18"/>
  <c r="W87" i="18"/>
  <c r="V87" i="18"/>
  <c r="W86" i="18"/>
  <c r="V86" i="18"/>
  <c r="W85" i="18"/>
  <c r="V85" i="18"/>
  <c r="W84" i="18"/>
  <c r="V84" i="18"/>
  <c r="W83" i="18"/>
  <c r="V83" i="18"/>
  <c r="W82" i="18"/>
  <c r="V82" i="18"/>
  <c r="W81" i="18"/>
  <c r="V81" i="18"/>
  <c r="W80" i="18"/>
  <c r="V80" i="18"/>
  <c r="W79" i="18"/>
  <c r="V79" i="18"/>
  <c r="W78" i="18"/>
  <c r="V78" i="18"/>
  <c r="W77" i="18"/>
  <c r="V77" i="18"/>
  <c r="W76" i="18"/>
  <c r="V76" i="18"/>
  <c r="W75" i="18"/>
  <c r="V75" i="18"/>
  <c r="W74" i="18"/>
  <c r="V74" i="18"/>
  <c r="W73" i="18"/>
  <c r="V73" i="18"/>
  <c r="W72" i="18"/>
  <c r="V72" i="18"/>
  <c r="W71" i="18"/>
  <c r="V71" i="18"/>
  <c r="W70" i="18"/>
  <c r="V70" i="18"/>
  <c r="W69" i="18"/>
  <c r="V69" i="18"/>
  <c r="W68" i="18"/>
  <c r="V68" i="18"/>
  <c r="W67" i="18"/>
  <c r="V67" i="18"/>
  <c r="W66" i="18"/>
  <c r="V66" i="18"/>
  <c r="W65" i="18"/>
  <c r="V65" i="18"/>
  <c r="W64" i="18"/>
  <c r="V64" i="18"/>
  <c r="W63" i="18"/>
  <c r="V63" i="18"/>
  <c r="W62" i="18"/>
  <c r="V62" i="18"/>
  <c r="W61" i="18"/>
  <c r="V61" i="18"/>
  <c r="W60" i="18"/>
  <c r="V60" i="18"/>
  <c r="W59" i="18"/>
  <c r="V59" i="18"/>
  <c r="W58" i="18"/>
  <c r="V58" i="18"/>
  <c r="W57" i="18"/>
  <c r="V57" i="18"/>
  <c r="W56" i="18"/>
  <c r="V56" i="18"/>
  <c r="W55" i="18"/>
  <c r="V55" i="18"/>
  <c r="W54" i="18"/>
  <c r="V54" i="18"/>
  <c r="W53" i="18"/>
  <c r="V53" i="18"/>
  <c r="W52" i="18"/>
  <c r="V52" i="18"/>
  <c r="W51" i="18"/>
  <c r="V51" i="18"/>
  <c r="W50" i="18"/>
  <c r="V50" i="18"/>
  <c r="W49" i="18"/>
  <c r="V49" i="18"/>
  <c r="W48" i="18"/>
  <c r="V48" i="18"/>
  <c r="W47" i="18"/>
  <c r="V47" i="18"/>
  <c r="W46" i="18"/>
  <c r="V46" i="18"/>
  <c r="W45" i="18"/>
  <c r="V45" i="18"/>
  <c r="W44" i="18"/>
  <c r="V44" i="18"/>
  <c r="W43" i="18"/>
  <c r="V43" i="18"/>
  <c r="W42" i="18"/>
  <c r="V42" i="18"/>
  <c r="W41" i="18"/>
  <c r="V41" i="18"/>
  <c r="W40" i="18"/>
  <c r="V40" i="18"/>
  <c r="W39" i="18"/>
  <c r="V39" i="18"/>
  <c r="W38" i="18"/>
  <c r="V38" i="18"/>
  <c r="W37" i="18"/>
  <c r="V37" i="18"/>
  <c r="W36" i="18"/>
  <c r="V36" i="18"/>
  <c r="W35" i="18"/>
  <c r="V35" i="18"/>
  <c r="W34" i="18"/>
  <c r="V34" i="18"/>
  <c r="W33" i="18"/>
  <c r="V33" i="18"/>
  <c r="W32" i="18"/>
  <c r="V32" i="18"/>
  <c r="W31" i="18"/>
  <c r="V31" i="18"/>
  <c r="W30" i="18"/>
  <c r="V30" i="18"/>
  <c r="W29" i="18"/>
  <c r="V29" i="18"/>
  <c r="W28" i="18"/>
  <c r="V28" i="18"/>
  <c r="W27" i="18"/>
  <c r="V27" i="18"/>
  <c r="W26" i="18"/>
  <c r="V26" i="18"/>
  <c r="W25" i="18"/>
  <c r="V25" i="18"/>
  <c r="W24" i="18"/>
  <c r="V24" i="18"/>
  <c r="W23" i="18"/>
  <c r="V23" i="18"/>
  <c r="W22" i="18"/>
  <c r="V22" i="18"/>
  <c r="W21" i="18"/>
  <c r="V21" i="18"/>
  <c r="W20" i="18"/>
  <c r="V20" i="18"/>
  <c r="W19" i="18"/>
  <c r="V19" i="18"/>
  <c r="W18" i="18"/>
  <c r="V18" i="18"/>
  <c r="W17" i="18"/>
  <c r="V17" i="18"/>
  <c r="W16" i="18"/>
  <c r="V16" i="18"/>
  <c r="W15" i="18"/>
  <c r="V15" i="18"/>
  <c r="W14" i="18"/>
  <c r="V14" i="18"/>
  <c r="W13" i="18"/>
  <c r="V13" i="18"/>
  <c r="W12" i="18"/>
  <c r="V12" i="18"/>
  <c r="W11" i="18"/>
  <c r="V11" i="18"/>
  <c r="W10" i="18"/>
  <c r="V10" i="18"/>
  <c r="W9" i="18"/>
  <c r="V9" i="18"/>
  <c r="W8" i="18"/>
  <c r="V8" i="18"/>
  <c r="W7" i="18"/>
  <c r="V7" i="18"/>
  <c r="W6" i="18"/>
  <c r="V6" i="18"/>
  <c r="W5" i="18"/>
  <c r="V5" i="18"/>
  <c r="W4" i="18"/>
  <c r="V4" i="18"/>
  <c r="W3" i="18"/>
  <c r="V3" i="18"/>
  <c r="W2" i="18"/>
  <c r="V2" i="18"/>
  <c r="W216" i="17"/>
  <c r="V216" i="17"/>
  <c r="W215" i="17"/>
  <c r="V215" i="17"/>
  <c r="W214" i="17"/>
  <c r="V214" i="17"/>
  <c r="W213" i="17"/>
  <c r="V213" i="17"/>
  <c r="W212" i="17"/>
  <c r="V212" i="17"/>
  <c r="W211" i="17"/>
  <c r="V211" i="17"/>
  <c r="W210" i="17"/>
  <c r="V210" i="17"/>
  <c r="W209" i="17"/>
  <c r="V209" i="17"/>
  <c r="W208" i="17"/>
  <c r="V208" i="17"/>
  <c r="W207" i="17"/>
  <c r="V207" i="17"/>
  <c r="W206" i="17"/>
  <c r="V206" i="17"/>
  <c r="W205" i="17"/>
  <c r="V205" i="17"/>
  <c r="W204" i="17"/>
  <c r="V204" i="17"/>
  <c r="W203" i="17"/>
  <c r="V203" i="17"/>
  <c r="W202" i="17"/>
  <c r="V202" i="17"/>
  <c r="W201" i="17"/>
  <c r="V201" i="17"/>
  <c r="W200" i="17"/>
  <c r="V200" i="17"/>
  <c r="W199" i="17"/>
  <c r="V199" i="17"/>
  <c r="W198" i="17"/>
  <c r="V198" i="17"/>
  <c r="W197" i="17"/>
  <c r="V197" i="17"/>
  <c r="W196" i="17"/>
  <c r="V196" i="17"/>
  <c r="W195" i="17"/>
  <c r="V195" i="17"/>
  <c r="W194" i="17"/>
  <c r="V194" i="17"/>
  <c r="W193" i="17"/>
  <c r="V193" i="17"/>
  <c r="W192" i="17"/>
  <c r="V192" i="17"/>
  <c r="W191" i="17"/>
  <c r="V191" i="17"/>
  <c r="W190" i="17"/>
  <c r="V190" i="17"/>
  <c r="W189" i="17"/>
  <c r="V189" i="17"/>
  <c r="W188" i="17"/>
  <c r="V188" i="17"/>
  <c r="W187" i="17"/>
  <c r="V187" i="17"/>
  <c r="W186" i="17"/>
  <c r="V186" i="17"/>
  <c r="W185" i="17"/>
  <c r="V185" i="17"/>
  <c r="W184" i="17"/>
  <c r="V184" i="17"/>
  <c r="W183" i="17"/>
  <c r="V183" i="17"/>
  <c r="W182" i="17"/>
  <c r="V182" i="17"/>
  <c r="W181" i="17"/>
  <c r="V181" i="17"/>
  <c r="W180" i="17"/>
  <c r="V180" i="17"/>
  <c r="W179" i="17"/>
  <c r="V179" i="17"/>
  <c r="W178" i="17"/>
  <c r="V178" i="17"/>
  <c r="W177" i="17"/>
  <c r="V177" i="17"/>
  <c r="W176" i="17"/>
  <c r="V176" i="17"/>
  <c r="W175" i="17"/>
  <c r="V175" i="17"/>
  <c r="W174" i="17"/>
  <c r="V174" i="17"/>
  <c r="W173" i="17"/>
  <c r="V173" i="17"/>
  <c r="W172" i="17"/>
  <c r="V172" i="17"/>
  <c r="W171" i="17"/>
  <c r="V171" i="17"/>
  <c r="W170" i="17"/>
  <c r="V170" i="17"/>
  <c r="W169" i="17"/>
  <c r="V169" i="17"/>
  <c r="W168" i="17"/>
  <c r="V168" i="17"/>
  <c r="W167" i="17"/>
  <c r="V167" i="17"/>
  <c r="W166" i="17"/>
  <c r="V166" i="17"/>
  <c r="W165" i="17"/>
  <c r="V165" i="17"/>
  <c r="W164" i="17"/>
  <c r="V164" i="17"/>
  <c r="W163" i="17"/>
  <c r="V163" i="17"/>
  <c r="W162" i="17"/>
  <c r="V162" i="17"/>
  <c r="W161" i="17"/>
  <c r="V161" i="17"/>
  <c r="W160" i="17"/>
  <c r="V160" i="17"/>
  <c r="W159" i="17"/>
  <c r="V159" i="17"/>
  <c r="W158" i="17"/>
  <c r="V158" i="17"/>
  <c r="W157" i="17"/>
  <c r="V157" i="17"/>
  <c r="W156" i="17"/>
  <c r="V156" i="17"/>
  <c r="W155" i="17"/>
  <c r="V155" i="17"/>
  <c r="W154" i="17"/>
  <c r="V154" i="17"/>
  <c r="W153" i="17"/>
  <c r="V153" i="17"/>
  <c r="W152" i="17"/>
  <c r="V152" i="17"/>
  <c r="W151" i="17"/>
  <c r="V151" i="17"/>
  <c r="W150" i="17"/>
  <c r="V150" i="17"/>
  <c r="W149" i="17"/>
  <c r="V149" i="17"/>
  <c r="W148" i="17"/>
  <c r="V148" i="17"/>
  <c r="W147" i="17"/>
  <c r="V147" i="17"/>
  <c r="W146" i="17"/>
  <c r="V146" i="17"/>
  <c r="W145" i="17"/>
  <c r="V145" i="17"/>
  <c r="W144" i="17"/>
  <c r="V144" i="17"/>
  <c r="W143" i="17"/>
  <c r="V143" i="17"/>
  <c r="W142" i="17"/>
  <c r="V142" i="17"/>
  <c r="W141" i="17"/>
  <c r="V141" i="17"/>
  <c r="W140" i="17"/>
  <c r="V140" i="17"/>
  <c r="W139" i="17"/>
  <c r="V139" i="17"/>
  <c r="W138" i="17"/>
  <c r="V138" i="17"/>
  <c r="W137" i="17"/>
  <c r="V137" i="17"/>
  <c r="W136" i="17"/>
  <c r="V136" i="17"/>
  <c r="W135" i="17"/>
  <c r="V135" i="17"/>
  <c r="W134" i="17"/>
  <c r="V134" i="17"/>
  <c r="W133" i="17"/>
  <c r="V133" i="17"/>
  <c r="W132" i="17"/>
  <c r="V132" i="17"/>
  <c r="W131" i="17"/>
  <c r="V131" i="17"/>
  <c r="W130" i="17"/>
  <c r="V130" i="17"/>
  <c r="W129" i="17"/>
  <c r="V129" i="17"/>
  <c r="W128" i="17"/>
  <c r="V128" i="17"/>
  <c r="W127" i="17"/>
  <c r="V127" i="17"/>
  <c r="W126" i="17"/>
  <c r="V126" i="17"/>
  <c r="W125" i="17"/>
  <c r="V125" i="17"/>
  <c r="W124" i="17"/>
  <c r="V124" i="17"/>
  <c r="W123" i="17"/>
  <c r="V123" i="17"/>
  <c r="W122" i="17"/>
  <c r="V122" i="17"/>
  <c r="W121" i="17"/>
  <c r="V121" i="17"/>
  <c r="W120" i="17"/>
  <c r="V120" i="17"/>
  <c r="W119" i="17"/>
  <c r="V119" i="17"/>
  <c r="W118" i="17"/>
  <c r="V118" i="17"/>
  <c r="W117" i="17"/>
  <c r="V117" i="17"/>
  <c r="W116" i="17"/>
  <c r="V116" i="17"/>
  <c r="W115" i="17"/>
  <c r="V115" i="17"/>
  <c r="W114" i="17"/>
  <c r="V114" i="17"/>
  <c r="W113" i="17"/>
  <c r="V113" i="17"/>
  <c r="W112" i="17"/>
  <c r="V112" i="17"/>
  <c r="W111" i="17"/>
  <c r="V111" i="17"/>
  <c r="W110" i="17"/>
  <c r="V110" i="17"/>
  <c r="W109" i="17"/>
  <c r="V109" i="17"/>
  <c r="W108" i="17"/>
  <c r="V108" i="17"/>
  <c r="W107" i="17"/>
  <c r="V107" i="17"/>
  <c r="W106" i="17"/>
  <c r="V106" i="17"/>
  <c r="W105" i="17"/>
  <c r="V105" i="17"/>
  <c r="W104" i="17"/>
  <c r="V104" i="17"/>
  <c r="W103" i="17"/>
  <c r="V103" i="17"/>
  <c r="W102" i="17"/>
  <c r="V102" i="17"/>
  <c r="W101" i="17"/>
  <c r="V101" i="17"/>
  <c r="W100" i="17"/>
  <c r="V100" i="17"/>
  <c r="W99" i="17"/>
  <c r="V99" i="17"/>
  <c r="W98" i="17"/>
  <c r="V98" i="17"/>
  <c r="W97" i="17"/>
  <c r="V97" i="17"/>
  <c r="W96" i="17"/>
  <c r="V96" i="17"/>
  <c r="W95" i="17"/>
  <c r="V95" i="17"/>
  <c r="W94" i="17"/>
  <c r="V94" i="17"/>
  <c r="W93" i="17"/>
  <c r="V93" i="17"/>
  <c r="W92" i="17"/>
  <c r="V92" i="17"/>
  <c r="W91" i="17"/>
  <c r="V91" i="17"/>
  <c r="W90" i="17"/>
  <c r="V90" i="17"/>
  <c r="W89" i="17"/>
  <c r="V89" i="17"/>
  <c r="W88" i="17"/>
  <c r="V88" i="17"/>
  <c r="W87" i="17"/>
  <c r="V87" i="17"/>
  <c r="W86" i="17"/>
  <c r="V86" i="17"/>
  <c r="W85" i="17"/>
  <c r="V85" i="17"/>
  <c r="W84" i="17"/>
  <c r="V84" i="17"/>
  <c r="W83" i="17"/>
  <c r="V83" i="17"/>
  <c r="W82" i="17"/>
  <c r="V82" i="17"/>
  <c r="W81" i="17"/>
  <c r="V81" i="17"/>
  <c r="W80" i="17"/>
  <c r="V80" i="17"/>
  <c r="W79" i="17"/>
  <c r="V79" i="17"/>
  <c r="W78" i="17"/>
  <c r="V78" i="17"/>
  <c r="W77" i="17"/>
  <c r="V77" i="17"/>
  <c r="W76" i="17"/>
  <c r="V76" i="17"/>
  <c r="W75" i="17"/>
  <c r="V75" i="17"/>
  <c r="W74" i="17"/>
  <c r="V74" i="17"/>
  <c r="W73" i="17"/>
  <c r="V73" i="17"/>
  <c r="W72" i="17"/>
  <c r="V72" i="17"/>
  <c r="W71" i="17"/>
  <c r="V71" i="17"/>
  <c r="W70" i="17"/>
  <c r="V70" i="17"/>
  <c r="W69" i="17"/>
  <c r="V69" i="17"/>
  <c r="W68" i="17"/>
  <c r="V68" i="17"/>
  <c r="W67" i="17"/>
  <c r="V67" i="17"/>
  <c r="W66" i="17"/>
  <c r="V66" i="17"/>
  <c r="W65" i="17"/>
  <c r="V65" i="17"/>
  <c r="W64" i="17"/>
  <c r="V64" i="17"/>
  <c r="W63" i="17"/>
  <c r="V63" i="17"/>
  <c r="W62" i="17"/>
  <c r="V62" i="17"/>
  <c r="W61" i="17"/>
  <c r="V61" i="17"/>
  <c r="W60" i="17"/>
  <c r="V60" i="17"/>
  <c r="W59" i="17"/>
  <c r="V59" i="17"/>
  <c r="W58" i="17"/>
  <c r="V58" i="17"/>
  <c r="W57" i="17"/>
  <c r="V57" i="17"/>
  <c r="W56" i="17"/>
  <c r="V56" i="17"/>
  <c r="W55" i="17"/>
  <c r="V55" i="17"/>
  <c r="W54" i="17"/>
  <c r="V54" i="17"/>
  <c r="W53" i="17"/>
  <c r="V53" i="17"/>
  <c r="W52" i="17"/>
  <c r="V52" i="17"/>
  <c r="W51" i="17"/>
  <c r="V51" i="17"/>
  <c r="W50" i="17"/>
  <c r="V50" i="17"/>
  <c r="W49" i="17"/>
  <c r="V49" i="17"/>
  <c r="W48" i="17"/>
  <c r="V48" i="17"/>
  <c r="W47" i="17"/>
  <c r="V47" i="17"/>
  <c r="W46" i="17"/>
  <c r="V46" i="17"/>
  <c r="W45" i="17"/>
  <c r="V45" i="17"/>
  <c r="W44" i="17"/>
  <c r="V44" i="17"/>
  <c r="W43" i="17"/>
  <c r="V43" i="17"/>
  <c r="W42" i="17"/>
  <c r="V42" i="17"/>
  <c r="W41" i="17"/>
  <c r="V41" i="17"/>
  <c r="W40" i="17"/>
  <c r="V40" i="17"/>
  <c r="W39" i="17"/>
  <c r="V39" i="17"/>
  <c r="W38" i="17"/>
  <c r="V38" i="17"/>
  <c r="W37" i="17"/>
  <c r="V37" i="17"/>
  <c r="W36" i="17"/>
  <c r="V36" i="17"/>
  <c r="W35" i="17"/>
  <c r="V35" i="17"/>
  <c r="W34" i="17"/>
  <c r="V34" i="17"/>
  <c r="W33" i="17"/>
  <c r="V33" i="17"/>
  <c r="W32" i="17"/>
  <c r="V32" i="17"/>
  <c r="W31" i="17"/>
  <c r="V31" i="17"/>
  <c r="W30" i="17"/>
  <c r="V30" i="17"/>
  <c r="W29" i="17"/>
  <c r="V29" i="17"/>
  <c r="W28" i="17"/>
  <c r="V28" i="17"/>
  <c r="W27" i="17"/>
  <c r="V27" i="17"/>
  <c r="W26" i="17"/>
  <c r="V26" i="17"/>
  <c r="W25" i="17"/>
  <c r="V25" i="17"/>
  <c r="W24" i="17"/>
  <c r="V24" i="17"/>
  <c r="W23" i="17"/>
  <c r="V23" i="17"/>
  <c r="W22" i="17"/>
  <c r="V22" i="17"/>
  <c r="W21" i="17"/>
  <c r="V21" i="17"/>
  <c r="W20" i="17"/>
  <c r="V20" i="17"/>
  <c r="W19" i="17"/>
  <c r="V19" i="17"/>
  <c r="W18" i="17"/>
  <c r="V18" i="17"/>
  <c r="W17" i="17"/>
  <c r="V17" i="17"/>
  <c r="W16" i="17"/>
  <c r="V16" i="17"/>
  <c r="W15" i="17"/>
  <c r="V15" i="17"/>
  <c r="W14" i="17"/>
  <c r="V14" i="17"/>
  <c r="W13" i="17"/>
  <c r="V13" i="17"/>
  <c r="W12" i="17"/>
  <c r="V12" i="17"/>
  <c r="W11" i="17"/>
  <c r="V11" i="17"/>
  <c r="W10" i="17"/>
  <c r="V10" i="17"/>
  <c r="W9" i="17"/>
  <c r="V9" i="17"/>
  <c r="W8" i="17"/>
  <c r="V8" i="17"/>
  <c r="W7" i="17"/>
  <c r="V7" i="17"/>
  <c r="W6" i="17"/>
  <c r="V6" i="17"/>
  <c r="W5" i="17"/>
  <c r="V5" i="17"/>
  <c r="W4" i="17"/>
  <c r="V4" i="17"/>
  <c r="W3" i="17"/>
  <c r="V3" i="17"/>
  <c r="W2" i="17"/>
  <c r="V2" i="17"/>
  <c r="W216" i="16"/>
  <c r="V216" i="16"/>
  <c r="W215" i="16"/>
  <c r="V215" i="16"/>
  <c r="W214" i="16"/>
  <c r="V214" i="16"/>
  <c r="W213" i="16"/>
  <c r="V213" i="16"/>
  <c r="W212" i="16"/>
  <c r="V212" i="16"/>
  <c r="W211" i="16"/>
  <c r="V211" i="16"/>
  <c r="W210" i="16"/>
  <c r="V210" i="16"/>
  <c r="W209" i="16"/>
  <c r="V209" i="16"/>
  <c r="W208" i="16"/>
  <c r="V208" i="16"/>
  <c r="W207" i="16"/>
  <c r="V207" i="16"/>
  <c r="W206" i="16"/>
  <c r="V206" i="16"/>
  <c r="W205" i="16"/>
  <c r="V205" i="16"/>
  <c r="W204" i="16"/>
  <c r="V204" i="16"/>
  <c r="W203" i="16"/>
  <c r="V203" i="16"/>
  <c r="W202" i="16"/>
  <c r="V202" i="16"/>
  <c r="W201" i="16"/>
  <c r="V201" i="16"/>
  <c r="W200" i="16"/>
  <c r="V200" i="16"/>
  <c r="W199" i="16"/>
  <c r="V199" i="16"/>
  <c r="W198" i="16"/>
  <c r="V198" i="16"/>
  <c r="W197" i="16"/>
  <c r="V197" i="16"/>
  <c r="W196" i="16"/>
  <c r="V196" i="16"/>
  <c r="W195" i="16"/>
  <c r="V195" i="16"/>
  <c r="W194" i="16"/>
  <c r="V194" i="16"/>
  <c r="W193" i="16"/>
  <c r="V193" i="16"/>
  <c r="W192" i="16"/>
  <c r="V192" i="16"/>
  <c r="W191" i="16"/>
  <c r="V191" i="16"/>
  <c r="W190" i="16"/>
  <c r="V190" i="16"/>
  <c r="W189" i="16"/>
  <c r="V189" i="16"/>
  <c r="W188" i="16"/>
  <c r="V188" i="16"/>
  <c r="W187" i="16"/>
  <c r="V187" i="16"/>
  <c r="W186" i="16"/>
  <c r="V186" i="16"/>
  <c r="W185" i="16"/>
  <c r="V185" i="16"/>
  <c r="W184" i="16"/>
  <c r="V184" i="16"/>
  <c r="W183" i="16"/>
  <c r="V183" i="16"/>
  <c r="W182" i="16"/>
  <c r="V182" i="16"/>
  <c r="W181" i="16"/>
  <c r="V181" i="16"/>
  <c r="W180" i="16"/>
  <c r="V180" i="16"/>
  <c r="W179" i="16"/>
  <c r="V179" i="16"/>
  <c r="W178" i="16"/>
  <c r="V178" i="16"/>
  <c r="W177" i="16"/>
  <c r="V177" i="16"/>
  <c r="W176" i="16"/>
  <c r="V176" i="16"/>
  <c r="W175" i="16"/>
  <c r="V175" i="16"/>
  <c r="W174" i="16"/>
  <c r="V174" i="16"/>
  <c r="W173" i="16"/>
  <c r="V173" i="16"/>
  <c r="W172" i="16"/>
  <c r="V172" i="16"/>
  <c r="W171" i="16"/>
  <c r="V171" i="16"/>
  <c r="W170" i="16"/>
  <c r="V170" i="16"/>
  <c r="W169" i="16"/>
  <c r="V169" i="16"/>
  <c r="W168" i="16"/>
  <c r="V168" i="16"/>
  <c r="W167" i="16"/>
  <c r="V167" i="16"/>
  <c r="W166" i="16"/>
  <c r="V166" i="16"/>
  <c r="W165" i="16"/>
  <c r="V165" i="16"/>
  <c r="W164" i="16"/>
  <c r="V164" i="16"/>
  <c r="W163" i="16"/>
  <c r="V163" i="16"/>
  <c r="W162" i="16"/>
  <c r="V162" i="16"/>
  <c r="W161" i="16"/>
  <c r="V161" i="16"/>
  <c r="W160" i="16"/>
  <c r="V160" i="16"/>
  <c r="W159" i="16"/>
  <c r="V159" i="16"/>
  <c r="W158" i="16"/>
  <c r="V158" i="16"/>
  <c r="W157" i="16"/>
  <c r="V157" i="16"/>
  <c r="W156" i="16"/>
  <c r="V156" i="16"/>
  <c r="W155" i="16"/>
  <c r="V155" i="16"/>
  <c r="W154" i="16"/>
  <c r="V154" i="16"/>
  <c r="W153" i="16"/>
  <c r="V153" i="16"/>
  <c r="W152" i="16"/>
  <c r="V152" i="16"/>
  <c r="W151" i="16"/>
  <c r="V151" i="16"/>
  <c r="W150" i="16"/>
  <c r="V150" i="16"/>
  <c r="W149" i="16"/>
  <c r="V149" i="16"/>
  <c r="W148" i="16"/>
  <c r="V148" i="16"/>
  <c r="W147" i="16"/>
  <c r="V147" i="16"/>
  <c r="W146" i="16"/>
  <c r="V146" i="16"/>
  <c r="W145" i="16"/>
  <c r="V145" i="16"/>
  <c r="W144" i="16"/>
  <c r="V144" i="16"/>
  <c r="W143" i="16"/>
  <c r="V143" i="16"/>
  <c r="W142" i="16"/>
  <c r="V142" i="16"/>
  <c r="W141" i="16"/>
  <c r="V141" i="16"/>
  <c r="W140" i="16"/>
  <c r="V140" i="16"/>
  <c r="W139" i="16"/>
  <c r="V139" i="16"/>
  <c r="W138" i="16"/>
  <c r="V138" i="16"/>
  <c r="W137" i="16"/>
  <c r="V137" i="16"/>
  <c r="W136" i="16"/>
  <c r="V136" i="16"/>
  <c r="W135" i="16"/>
  <c r="V135" i="16"/>
  <c r="W134" i="16"/>
  <c r="V134" i="16"/>
  <c r="W133" i="16"/>
  <c r="V133" i="16"/>
  <c r="W132" i="16"/>
  <c r="V132" i="16"/>
  <c r="W131" i="16"/>
  <c r="V131" i="16"/>
  <c r="W130" i="16"/>
  <c r="V130" i="16"/>
  <c r="W129" i="16"/>
  <c r="V129" i="16"/>
  <c r="W128" i="16"/>
  <c r="V128" i="16"/>
  <c r="W127" i="16"/>
  <c r="V127" i="16"/>
  <c r="W126" i="16"/>
  <c r="V126" i="16"/>
  <c r="W125" i="16"/>
  <c r="V125" i="16"/>
  <c r="W124" i="16"/>
  <c r="V124" i="16"/>
  <c r="W123" i="16"/>
  <c r="V123" i="16"/>
  <c r="W122" i="16"/>
  <c r="V122" i="16"/>
  <c r="W121" i="16"/>
  <c r="V121" i="16"/>
  <c r="W120" i="16"/>
  <c r="V120" i="16"/>
  <c r="W119" i="16"/>
  <c r="V119" i="16"/>
  <c r="W118" i="16"/>
  <c r="V118" i="16"/>
  <c r="W117" i="16"/>
  <c r="V117" i="16"/>
  <c r="W116" i="16"/>
  <c r="V116" i="16"/>
  <c r="W115" i="16"/>
  <c r="V115" i="16"/>
  <c r="W114" i="16"/>
  <c r="V114" i="16"/>
  <c r="W113" i="16"/>
  <c r="V113" i="16"/>
  <c r="W112" i="16"/>
  <c r="V112" i="16"/>
  <c r="W111" i="16"/>
  <c r="V111" i="16"/>
  <c r="W110" i="16"/>
  <c r="V110" i="16"/>
  <c r="W109" i="16"/>
  <c r="V109" i="16"/>
  <c r="W108" i="16"/>
  <c r="V108" i="16"/>
  <c r="W107" i="16"/>
  <c r="V107" i="16"/>
  <c r="W106" i="16"/>
  <c r="V106" i="16"/>
  <c r="W105" i="16"/>
  <c r="V105" i="16"/>
  <c r="W104" i="16"/>
  <c r="V104" i="16"/>
  <c r="W103" i="16"/>
  <c r="V103" i="16"/>
  <c r="W102" i="16"/>
  <c r="V102" i="16"/>
  <c r="W101" i="16"/>
  <c r="V101" i="16"/>
  <c r="W100" i="16"/>
  <c r="V100" i="16"/>
  <c r="W99" i="16"/>
  <c r="V99" i="16"/>
  <c r="W98" i="16"/>
  <c r="V98" i="16"/>
  <c r="W97" i="16"/>
  <c r="V97" i="16"/>
  <c r="W96" i="16"/>
  <c r="V96" i="16"/>
  <c r="W95" i="16"/>
  <c r="V95" i="16"/>
  <c r="W94" i="16"/>
  <c r="V94" i="16"/>
  <c r="W93" i="16"/>
  <c r="V93" i="16"/>
  <c r="W92" i="16"/>
  <c r="V92" i="16"/>
  <c r="W91" i="16"/>
  <c r="V91" i="16"/>
  <c r="W90" i="16"/>
  <c r="V90" i="16"/>
  <c r="W89" i="16"/>
  <c r="V89" i="16"/>
  <c r="W88" i="16"/>
  <c r="V88" i="16"/>
  <c r="W87" i="16"/>
  <c r="V87" i="16"/>
  <c r="W86" i="16"/>
  <c r="V86" i="16"/>
  <c r="W85" i="16"/>
  <c r="V85" i="16"/>
  <c r="W84" i="16"/>
  <c r="V84" i="16"/>
  <c r="W83" i="16"/>
  <c r="V83" i="16"/>
  <c r="W82" i="16"/>
  <c r="V82" i="16"/>
  <c r="W81" i="16"/>
  <c r="V81" i="16"/>
  <c r="W80" i="16"/>
  <c r="V80" i="16"/>
  <c r="W79" i="16"/>
  <c r="V79" i="16"/>
  <c r="W78" i="16"/>
  <c r="V78" i="16"/>
  <c r="W77" i="16"/>
  <c r="V77" i="16"/>
  <c r="W76" i="16"/>
  <c r="V76" i="16"/>
  <c r="W75" i="16"/>
  <c r="V75" i="16"/>
  <c r="W74" i="16"/>
  <c r="V74" i="16"/>
  <c r="W73" i="16"/>
  <c r="V73" i="16"/>
  <c r="W72" i="16"/>
  <c r="V72" i="16"/>
  <c r="W71" i="16"/>
  <c r="V71" i="16"/>
  <c r="W70" i="16"/>
  <c r="V70" i="16"/>
  <c r="W69" i="16"/>
  <c r="V69" i="16"/>
  <c r="W68" i="16"/>
  <c r="V68" i="16"/>
  <c r="W67" i="16"/>
  <c r="V67" i="16"/>
  <c r="W66" i="16"/>
  <c r="V66" i="16"/>
  <c r="W65" i="16"/>
  <c r="V65" i="16"/>
  <c r="W64" i="16"/>
  <c r="V64" i="16"/>
  <c r="W63" i="16"/>
  <c r="V63" i="16"/>
  <c r="W62" i="16"/>
  <c r="V62" i="16"/>
  <c r="W61" i="16"/>
  <c r="V61" i="16"/>
  <c r="W60" i="16"/>
  <c r="V60" i="16"/>
  <c r="W59" i="16"/>
  <c r="V59" i="16"/>
  <c r="W58" i="16"/>
  <c r="V58" i="16"/>
  <c r="W57" i="16"/>
  <c r="V57" i="16"/>
  <c r="W56" i="16"/>
  <c r="V56" i="16"/>
  <c r="W55" i="16"/>
  <c r="V55" i="16"/>
  <c r="W54" i="16"/>
  <c r="V54" i="16"/>
  <c r="W53" i="16"/>
  <c r="V53" i="16"/>
  <c r="W52" i="16"/>
  <c r="V52" i="16"/>
  <c r="W51" i="16"/>
  <c r="V51" i="16"/>
  <c r="W50" i="16"/>
  <c r="V50" i="16"/>
  <c r="W49" i="16"/>
  <c r="V49" i="16"/>
  <c r="W48" i="16"/>
  <c r="V48" i="16"/>
  <c r="W47" i="16"/>
  <c r="V47" i="16"/>
  <c r="W46" i="16"/>
  <c r="V46" i="16"/>
  <c r="W45" i="16"/>
  <c r="V45" i="16"/>
  <c r="W44" i="16"/>
  <c r="V44" i="16"/>
  <c r="W43" i="16"/>
  <c r="V43" i="16"/>
  <c r="W42" i="16"/>
  <c r="V42" i="16"/>
  <c r="W41" i="16"/>
  <c r="V41" i="16"/>
  <c r="W40" i="16"/>
  <c r="V40" i="16"/>
  <c r="W39" i="16"/>
  <c r="V39" i="16"/>
  <c r="W38" i="16"/>
  <c r="V38" i="16"/>
  <c r="W37" i="16"/>
  <c r="V37" i="16"/>
  <c r="W36" i="16"/>
  <c r="V36" i="16"/>
  <c r="W35" i="16"/>
  <c r="V35" i="16"/>
  <c r="W34" i="16"/>
  <c r="V34" i="16"/>
  <c r="W33" i="16"/>
  <c r="V33" i="16"/>
  <c r="W32" i="16"/>
  <c r="V32" i="16"/>
  <c r="W31" i="16"/>
  <c r="V31" i="16"/>
  <c r="W30" i="16"/>
  <c r="V30" i="16"/>
  <c r="W29" i="16"/>
  <c r="V29" i="16"/>
  <c r="W28" i="16"/>
  <c r="V28" i="16"/>
  <c r="W27" i="16"/>
  <c r="V27" i="16"/>
  <c r="W26" i="16"/>
  <c r="V26" i="16"/>
  <c r="W25" i="16"/>
  <c r="V25" i="16"/>
  <c r="W24" i="16"/>
  <c r="V24" i="16"/>
  <c r="W23" i="16"/>
  <c r="V23" i="16"/>
  <c r="W22" i="16"/>
  <c r="V22" i="16"/>
  <c r="W21" i="16"/>
  <c r="V21" i="16"/>
  <c r="W20" i="16"/>
  <c r="V20" i="16"/>
  <c r="W19" i="16"/>
  <c r="V19" i="16"/>
  <c r="W18" i="16"/>
  <c r="V18" i="16"/>
  <c r="W17" i="16"/>
  <c r="V17" i="16"/>
  <c r="W16" i="16"/>
  <c r="V16" i="16"/>
  <c r="W15" i="16"/>
  <c r="V15" i="16"/>
  <c r="W14" i="16"/>
  <c r="V14" i="16"/>
  <c r="W13" i="16"/>
  <c r="V13" i="16"/>
  <c r="W12" i="16"/>
  <c r="V12" i="16"/>
  <c r="W11" i="16"/>
  <c r="V11" i="16"/>
  <c r="W10" i="16"/>
  <c r="V10" i="16"/>
  <c r="W9" i="16"/>
  <c r="V9" i="16"/>
  <c r="W8" i="16"/>
  <c r="V8" i="16"/>
  <c r="W7" i="16"/>
  <c r="V7" i="16"/>
  <c r="W6" i="16"/>
  <c r="V6" i="16"/>
  <c r="W5" i="16"/>
  <c r="V5" i="16"/>
  <c r="W4" i="16"/>
  <c r="V4" i="16"/>
  <c r="W3" i="16"/>
  <c r="V3" i="16"/>
  <c r="W2" i="16"/>
  <c r="V2" i="16"/>
  <c r="W216" i="15"/>
  <c r="V216" i="15"/>
  <c r="W215" i="15"/>
  <c r="V215" i="15"/>
  <c r="W214" i="15"/>
  <c r="V214" i="15"/>
  <c r="W213" i="15"/>
  <c r="V213" i="15"/>
  <c r="W212" i="15"/>
  <c r="V212" i="15"/>
  <c r="W211" i="15"/>
  <c r="V211" i="15"/>
  <c r="W210" i="15"/>
  <c r="V210" i="15"/>
  <c r="W209" i="15"/>
  <c r="V209" i="15"/>
  <c r="W208" i="15"/>
  <c r="V208" i="15"/>
  <c r="W207" i="15"/>
  <c r="V207" i="15"/>
  <c r="W206" i="15"/>
  <c r="V206" i="15"/>
  <c r="W205" i="15"/>
  <c r="V205" i="15"/>
  <c r="W204" i="15"/>
  <c r="V204" i="15"/>
  <c r="W203" i="15"/>
  <c r="V203" i="15"/>
  <c r="W202" i="15"/>
  <c r="V202" i="15"/>
  <c r="W201" i="15"/>
  <c r="V201" i="15"/>
  <c r="W200" i="15"/>
  <c r="V200" i="15"/>
  <c r="W199" i="15"/>
  <c r="V199" i="15"/>
  <c r="W198" i="15"/>
  <c r="V198" i="15"/>
  <c r="W197" i="15"/>
  <c r="V197" i="15"/>
  <c r="W196" i="15"/>
  <c r="V196" i="15"/>
  <c r="W195" i="15"/>
  <c r="V195" i="15"/>
  <c r="W194" i="15"/>
  <c r="V194" i="15"/>
  <c r="W193" i="15"/>
  <c r="V193" i="15"/>
  <c r="W192" i="15"/>
  <c r="V192" i="15"/>
  <c r="W191" i="15"/>
  <c r="V191" i="15"/>
  <c r="W190" i="15"/>
  <c r="V190" i="15"/>
  <c r="W189" i="15"/>
  <c r="V189" i="15"/>
  <c r="W188" i="15"/>
  <c r="V188" i="15"/>
  <c r="W187" i="15"/>
  <c r="V187" i="15"/>
  <c r="W186" i="15"/>
  <c r="V186" i="15"/>
  <c r="W185" i="15"/>
  <c r="V185" i="15"/>
  <c r="W184" i="15"/>
  <c r="V184" i="15"/>
  <c r="W183" i="15"/>
  <c r="V183" i="15"/>
  <c r="W182" i="15"/>
  <c r="V182" i="15"/>
  <c r="W181" i="15"/>
  <c r="V181" i="15"/>
  <c r="W180" i="15"/>
  <c r="V180" i="15"/>
  <c r="W179" i="15"/>
  <c r="V179" i="15"/>
  <c r="W178" i="15"/>
  <c r="V178" i="15"/>
  <c r="W177" i="15"/>
  <c r="V177" i="15"/>
  <c r="W176" i="15"/>
  <c r="V176" i="15"/>
  <c r="W175" i="15"/>
  <c r="V175" i="15"/>
  <c r="W174" i="15"/>
  <c r="V174" i="15"/>
  <c r="W173" i="15"/>
  <c r="V173" i="15"/>
  <c r="W172" i="15"/>
  <c r="V172" i="15"/>
  <c r="W171" i="15"/>
  <c r="V171" i="15"/>
  <c r="W170" i="15"/>
  <c r="V170" i="15"/>
  <c r="W169" i="15"/>
  <c r="V169" i="15"/>
  <c r="W168" i="15"/>
  <c r="V168" i="15"/>
  <c r="W167" i="15"/>
  <c r="V167" i="15"/>
  <c r="W166" i="15"/>
  <c r="V166" i="15"/>
  <c r="W165" i="15"/>
  <c r="V165" i="15"/>
  <c r="W164" i="15"/>
  <c r="V164" i="15"/>
  <c r="W163" i="15"/>
  <c r="V163" i="15"/>
  <c r="W162" i="15"/>
  <c r="V162" i="15"/>
  <c r="W161" i="15"/>
  <c r="V161" i="15"/>
  <c r="W160" i="15"/>
  <c r="V160" i="15"/>
  <c r="W159" i="15"/>
  <c r="V159" i="15"/>
  <c r="W158" i="15"/>
  <c r="V158" i="15"/>
  <c r="W157" i="15"/>
  <c r="V157" i="15"/>
  <c r="W156" i="15"/>
  <c r="V156" i="15"/>
  <c r="W155" i="15"/>
  <c r="V155" i="15"/>
  <c r="W154" i="15"/>
  <c r="V154" i="15"/>
  <c r="W153" i="15"/>
  <c r="V153" i="15"/>
  <c r="W152" i="15"/>
  <c r="V152" i="15"/>
  <c r="W151" i="15"/>
  <c r="V151" i="15"/>
  <c r="W150" i="15"/>
  <c r="V150" i="15"/>
  <c r="W149" i="15"/>
  <c r="V149" i="15"/>
  <c r="W148" i="15"/>
  <c r="V148" i="15"/>
  <c r="W147" i="15"/>
  <c r="V147" i="15"/>
  <c r="W146" i="15"/>
  <c r="V146" i="15"/>
  <c r="W145" i="15"/>
  <c r="V145" i="15"/>
  <c r="W144" i="15"/>
  <c r="V144" i="15"/>
  <c r="W143" i="15"/>
  <c r="V143" i="15"/>
  <c r="W142" i="15"/>
  <c r="V142" i="15"/>
  <c r="W141" i="15"/>
  <c r="V141" i="15"/>
  <c r="W140" i="15"/>
  <c r="V140" i="15"/>
  <c r="W139" i="15"/>
  <c r="V139" i="15"/>
  <c r="W138" i="15"/>
  <c r="V138" i="15"/>
  <c r="W137" i="15"/>
  <c r="V137" i="15"/>
  <c r="W136" i="15"/>
  <c r="V136" i="15"/>
  <c r="W135" i="15"/>
  <c r="V135" i="15"/>
  <c r="W134" i="15"/>
  <c r="V134" i="15"/>
  <c r="W133" i="15"/>
  <c r="V133" i="15"/>
  <c r="W132" i="15"/>
  <c r="V132" i="15"/>
  <c r="W131" i="15"/>
  <c r="V131" i="15"/>
  <c r="W130" i="15"/>
  <c r="V130" i="15"/>
  <c r="W129" i="15"/>
  <c r="V129" i="15"/>
  <c r="W128" i="15"/>
  <c r="V128" i="15"/>
  <c r="W127" i="15"/>
  <c r="V127" i="15"/>
  <c r="W126" i="15"/>
  <c r="V126" i="15"/>
  <c r="W125" i="15"/>
  <c r="V125" i="15"/>
  <c r="W124" i="15"/>
  <c r="V124" i="15"/>
  <c r="W123" i="15"/>
  <c r="V123" i="15"/>
  <c r="W122" i="15"/>
  <c r="V122" i="15"/>
  <c r="W121" i="15"/>
  <c r="V121" i="15"/>
  <c r="W120" i="15"/>
  <c r="V120" i="15"/>
  <c r="W119" i="15"/>
  <c r="V119" i="15"/>
  <c r="W118" i="15"/>
  <c r="V118" i="15"/>
  <c r="W117" i="15"/>
  <c r="V117" i="15"/>
  <c r="W116" i="15"/>
  <c r="V116" i="15"/>
  <c r="W115" i="15"/>
  <c r="V115" i="15"/>
  <c r="W114" i="15"/>
  <c r="V114" i="15"/>
  <c r="W113" i="15"/>
  <c r="V113" i="15"/>
  <c r="W112" i="15"/>
  <c r="V112" i="15"/>
  <c r="W111" i="15"/>
  <c r="V111" i="15"/>
  <c r="W110" i="15"/>
  <c r="V110" i="15"/>
  <c r="W109" i="15"/>
  <c r="V109" i="15"/>
  <c r="W108" i="15"/>
  <c r="V108" i="15"/>
  <c r="W107" i="15"/>
  <c r="V107" i="15"/>
  <c r="W106" i="15"/>
  <c r="V106" i="15"/>
  <c r="W105" i="15"/>
  <c r="V105" i="15"/>
  <c r="W104" i="15"/>
  <c r="V104" i="15"/>
  <c r="W103" i="15"/>
  <c r="V103" i="15"/>
  <c r="W102" i="15"/>
  <c r="V102" i="15"/>
  <c r="W101" i="15"/>
  <c r="V101" i="15"/>
  <c r="W100" i="15"/>
  <c r="V100" i="15"/>
  <c r="W99" i="15"/>
  <c r="V99" i="15"/>
  <c r="W98" i="15"/>
  <c r="V98" i="15"/>
  <c r="W97" i="15"/>
  <c r="V97" i="15"/>
  <c r="W96" i="15"/>
  <c r="V96" i="15"/>
  <c r="W95" i="15"/>
  <c r="V95" i="15"/>
  <c r="W94" i="15"/>
  <c r="V94" i="15"/>
  <c r="W93" i="15"/>
  <c r="V93" i="15"/>
  <c r="W92" i="15"/>
  <c r="V92" i="15"/>
  <c r="W91" i="15"/>
  <c r="V91" i="15"/>
  <c r="W90" i="15"/>
  <c r="V90" i="15"/>
  <c r="W89" i="15"/>
  <c r="V89" i="15"/>
  <c r="W88" i="15"/>
  <c r="V88" i="15"/>
  <c r="W87" i="15"/>
  <c r="V87" i="15"/>
  <c r="W86" i="15"/>
  <c r="V86" i="15"/>
  <c r="W85" i="15"/>
  <c r="V85" i="15"/>
  <c r="W84" i="15"/>
  <c r="V84" i="15"/>
  <c r="W83" i="15"/>
  <c r="V83" i="15"/>
  <c r="W82" i="15"/>
  <c r="V82" i="15"/>
  <c r="W81" i="15"/>
  <c r="V81" i="15"/>
  <c r="W80" i="15"/>
  <c r="V80" i="15"/>
  <c r="W79" i="15"/>
  <c r="V79" i="15"/>
  <c r="W78" i="15"/>
  <c r="V78" i="15"/>
  <c r="W77" i="15"/>
  <c r="V77" i="15"/>
  <c r="W76" i="15"/>
  <c r="V76" i="15"/>
  <c r="W75" i="15"/>
  <c r="V75" i="15"/>
  <c r="W74" i="15"/>
  <c r="V74" i="15"/>
  <c r="W73" i="15"/>
  <c r="V73" i="15"/>
  <c r="W72" i="15"/>
  <c r="V72" i="15"/>
  <c r="W71" i="15"/>
  <c r="V71" i="15"/>
  <c r="W70" i="15"/>
  <c r="V70" i="15"/>
  <c r="W69" i="15"/>
  <c r="V69" i="15"/>
  <c r="W68" i="15"/>
  <c r="V68" i="15"/>
  <c r="W67" i="15"/>
  <c r="V67" i="15"/>
  <c r="W66" i="15"/>
  <c r="V66" i="15"/>
  <c r="W65" i="15"/>
  <c r="V65" i="15"/>
  <c r="W64" i="15"/>
  <c r="V64" i="15"/>
  <c r="W63" i="15"/>
  <c r="V63" i="15"/>
  <c r="W62" i="15"/>
  <c r="V62" i="15"/>
  <c r="W61" i="15"/>
  <c r="V61" i="15"/>
  <c r="W60" i="15"/>
  <c r="V60" i="15"/>
  <c r="W59" i="15"/>
  <c r="V59" i="15"/>
  <c r="W58" i="15"/>
  <c r="V58" i="15"/>
  <c r="W57" i="15"/>
  <c r="V57" i="15"/>
  <c r="W56" i="15"/>
  <c r="V56" i="15"/>
  <c r="W55" i="15"/>
  <c r="V55" i="15"/>
  <c r="W54" i="15"/>
  <c r="V54" i="15"/>
  <c r="W53" i="15"/>
  <c r="V53" i="15"/>
  <c r="W52" i="15"/>
  <c r="V52" i="15"/>
  <c r="W51" i="15"/>
  <c r="V51" i="15"/>
  <c r="W50" i="15"/>
  <c r="V50" i="15"/>
  <c r="W49" i="15"/>
  <c r="V49" i="15"/>
  <c r="W48" i="15"/>
  <c r="V48" i="15"/>
  <c r="W47" i="15"/>
  <c r="V47" i="15"/>
  <c r="W46" i="15"/>
  <c r="V46" i="15"/>
  <c r="W45" i="15"/>
  <c r="V45" i="15"/>
  <c r="W44" i="15"/>
  <c r="V44" i="15"/>
  <c r="W43" i="15"/>
  <c r="V43" i="15"/>
  <c r="W42" i="15"/>
  <c r="V42" i="15"/>
  <c r="W41" i="15"/>
  <c r="V41" i="15"/>
  <c r="W40" i="15"/>
  <c r="V40" i="15"/>
  <c r="W39" i="15"/>
  <c r="V39" i="15"/>
  <c r="W38" i="15"/>
  <c r="V38" i="15"/>
  <c r="W37" i="15"/>
  <c r="V37" i="15"/>
  <c r="W36" i="15"/>
  <c r="V36" i="15"/>
  <c r="W35" i="15"/>
  <c r="V35" i="15"/>
  <c r="W34" i="15"/>
  <c r="V34" i="15"/>
  <c r="W33" i="15"/>
  <c r="V33" i="15"/>
  <c r="W32" i="15"/>
  <c r="V32" i="15"/>
  <c r="W31" i="15"/>
  <c r="V31" i="15"/>
  <c r="W30" i="15"/>
  <c r="V30" i="15"/>
  <c r="W29" i="15"/>
  <c r="V29" i="15"/>
  <c r="W28" i="15"/>
  <c r="V28" i="15"/>
  <c r="W27" i="15"/>
  <c r="V27" i="15"/>
  <c r="W26" i="15"/>
  <c r="V26" i="15"/>
  <c r="W25" i="15"/>
  <c r="V25" i="15"/>
  <c r="W24" i="15"/>
  <c r="V24" i="15"/>
  <c r="W23" i="15"/>
  <c r="V23" i="15"/>
  <c r="W22" i="15"/>
  <c r="V22" i="15"/>
  <c r="W21" i="15"/>
  <c r="V21" i="15"/>
  <c r="W20" i="15"/>
  <c r="V20" i="15"/>
  <c r="W19" i="15"/>
  <c r="V19" i="15"/>
  <c r="W18" i="15"/>
  <c r="V18" i="15"/>
  <c r="W17" i="15"/>
  <c r="V17" i="15"/>
  <c r="W16" i="15"/>
  <c r="V16" i="15"/>
  <c r="W15" i="15"/>
  <c r="V15" i="15"/>
  <c r="W14" i="15"/>
  <c r="V14" i="15"/>
  <c r="W13" i="15"/>
  <c r="V13" i="15"/>
  <c r="W12" i="15"/>
  <c r="V12" i="15"/>
  <c r="W11" i="15"/>
  <c r="V11" i="15"/>
  <c r="W10" i="15"/>
  <c r="V10" i="15"/>
  <c r="W9" i="15"/>
  <c r="V9" i="15"/>
  <c r="W8" i="15"/>
  <c r="V8" i="15"/>
  <c r="W7" i="15"/>
  <c r="V7" i="15"/>
  <c r="W6" i="15"/>
  <c r="V6" i="15"/>
  <c r="W5" i="15"/>
  <c r="V5" i="15"/>
  <c r="W4" i="15"/>
  <c r="V4" i="15"/>
  <c r="W3" i="15"/>
  <c r="V3" i="15"/>
  <c r="W2" i="15"/>
  <c r="V2" i="15"/>
  <c r="W216" i="14"/>
  <c r="V216" i="14"/>
  <c r="W215" i="14"/>
  <c r="V215" i="14"/>
  <c r="W214" i="14"/>
  <c r="V214" i="14"/>
  <c r="W213" i="14"/>
  <c r="V213" i="14"/>
  <c r="W212" i="14"/>
  <c r="V212" i="14"/>
  <c r="W211" i="14"/>
  <c r="V211" i="14"/>
  <c r="W210" i="14"/>
  <c r="V210" i="14"/>
  <c r="W209" i="14"/>
  <c r="V209" i="14"/>
  <c r="W208" i="14"/>
  <c r="V208" i="14"/>
  <c r="W207" i="14"/>
  <c r="V207" i="14"/>
  <c r="W206" i="14"/>
  <c r="V206" i="14"/>
  <c r="W205" i="14"/>
  <c r="V205" i="14"/>
  <c r="W204" i="14"/>
  <c r="V204" i="14"/>
  <c r="W203" i="14"/>
  <c r="V203" i="14"/>
  <c r="W202" i="14"/>
  <c r="V202" i="14"/>
  <c r="W201" i="14"/>
  <c r="V201" i="14"/>
  <c r="W200" i="14"/>
  <c r="V200" i="14"/>
  <c r="W199" i="14"/>
  <c r="V199" i="14"/>
  <c r="W198" i="14"/>
  <c r="V198" i="14"/>
  <c r="W197" i="14"/>
  <c r="V197" i="14"/>
  <c r="W196" i="14"/>
  <c r="V196" i="14"/>
  <c r="W195" i="14"/>
  <c r="V195" i="14"/>
  <c r="W194" i="14"/>
  <c r="V194" i="14"/>
  <c r="W193" i="14"/>
  <c r="V193" i="14"/>
  <c r="W192" i="14"/>
  <c r="V192" i="14"/>
  <c r="W191" i="14"/>
  <c r="V191" i="14"/>
  <c r="W190" i="14"/>
  <c r="V190" i="14"/>
  <c r="W189" i="14"/>
  <c r="V189" i="14"/>
  <c r="W188" i="14"/>
  <c r="V188" i="14"/>
  <c r="W187" i="14"/>
  <c r="V187" i="14"/>
  <c r="W186" i="14"/>
  <c r="V186" i="14"/>
  <c r="W185" i="14"/>
  <c r="V185" i="14"/>
  <c r="W184" i="14"/>
  <c r="V184" i="14"/>
  <c r="W183" i="14"/>
  <c r="V183" i="14"/>
  <c r="W182" i="14"/>
  <c r="V182" i="14"/>
  <c r="W181" i="14"/>
  <c r="V181" i="14"/>
  <c r="W180" i="14"/>
  <c r="V180" i="14"/>
  <c r="W179" i="14"/>
  <c r="V179" i="14"/>
  <c r="W178" i="14"/>
  <c r="V178" i="14"/>
  <c r="W177" i="14"/>
  <c r="V177" i="14"/>
  <c r="W176" i="14"/>
  <c r="V176" i="14"/>
  <c r="W175" i="14"/>
  <c r="V175" i="14"/>
  <c r="W174" i="14"/>
  <c r="V174" i="14"/>
  <c r="W173" i="14"/>
  <c r="V173" i="14"/>
  <c r="W172" i="14"/>
  <c r="V172" i="14"/>
  <c r="W171" i="14"/>
  <c r="V171" i="14"/>
  <c r="W170" i="14"/>
  <c r="V170" i="14"/>
  <c r="W169" i="14"/>
  <c r="V169" i="14"/>
  <c r="W168" i="14"/>
  <c r="V168" i="14"/>
  <c r="W167" i="14"/>
  <c r="V167" i="14"/>
  <c r="W166" i="14"/>
  <c r="V166" i="14"/>
  <c r="W165" i="14"/>
  <c r="V165" i="14"/>
  <c r="W164" i="14"/>
  <c r="V164" i="14"/>
  <c r="W163" i="14"/>
  <c r="V163" i="14"/>
  <c r="W162" i="14"/>
  <c r="V162" i="14"/>
  <c r="W161" i="14"/>
  <c r="V161" i="14"/>
  <c r="W160" i="14"/>
  <c r="V160" i="14"/>
  <c r="W159" i="14"/>
  <c r="V159" i="14"/>
  <c r="W158" i="14"/>
  <c r="V158" i="14"/>
  <c r="W157" i="14"/>
  <c r="V157" i="14"/>
  <c r="W156" i="14"/>
  <c r="V156" i="14"/>
  <c r="W155" i="14"/>
  <c r="V155" i="14"/>
  <c r="W154" i="14"/>
  <c r="V154" i="14"/>
  <c r="W153" i="14"/>
  <c r="V153" i="14"/>
  <c r="W152" i="14"/>
  <c r="V152" i="14"/>
  <c r="W151" i="14"/>
  <c r="V151" i="14"/>
  <c r="W150" i="14"/>
  <c r="V150" i="14"/>
  <c r="W149" i="14"/>
  <c r="V149" i="14"/>
  <c r="W148" i="14"/>
  <c r="V148" i="14"/>
  <c r="W147" i="14"/>
  <c r="V147" i="14"/>
  <c r="W146" i="14"/>
  <c r="V146" i="14"/>
  <c r="W145" i="14"/>
  <c r="V145" i="14"/>
  <c r="W144" i="14"/>
  <c r="V144" i="14"/>
  <c r="W143" i="14"/>
  <c r="V143" i="14"/>
  <c r="W142" i="14"/>
  <c r="V142" i="14"/>
  <c r="W141" i="14"/>
  <c r="V141" i="14"/>
  <c r="W140" i="14"/>
  <c r="V140" i="14"/>
  <c r="W139" i="14"/>
  <c r="V139" i="14"/>
  <c r="W138" i="14"/>
  <c r="V138" i="14"/>
  <c r="W137" i="14"/>
  <c r="V137" i="14"/>
  <c r="W136" i="14"/>
  <c r="V136" i="14"/>
  <c r="W135" i="14"/>
  <c r="V135" i="14"/>
  <c r="W134" i="14"/>
  <c r="V134" i="14"/>
  <c r="W133" i="14"/>
  <c r="V133" i="14"/>
  <c r="W132" i="14"/>
  <c r="V132" i="14"/>
  <c r="W131" i="14"/>
  <c r="V131" i="14"/>
  <c r="W130" i="14"/>
  <c r="V130" i="14"/>
  <c r="W129" i="14"/>
  <c r="V129" i="14"/>
  <c r="W128" i="14"/>
  <c r="V128" i="14"/>
  <c r="W127" i="14"/>
  <c r="V127" i="14"/>
  <c r="W126" i="14"/>
  <c r="V126" i="14"/>
  <c r="W125" i="14"/>
  <c r="V125" i="14"/>
  <c r="W124" i="14"/>
  <c r="V124" i="14"/>
  <c r="W123" i="14"/>
  <c r="V123" i="14"/>
  <c r="W122" i="14"/>
  <c r="V122" i="14"/>
  <c r="W121" i="14"/>
  <c r="V121" i="14"/>
  <c r="W120" i="14"/>
  <c r="V120" i="14"/>
  <c r="W119" i="14"/>
  <c r="V119" i="14"/>
  <c r="W118" i="14"/>
  <c r="V118" i="14"/>
  <c r="W117" i="14"/>
  <c r="V117" i="14"/>
  <c r="W116" i="14"/>
  <c r="V116" i="14"/>
  <c r="W115" i="14"/>
  <c r="V115" i="14"/>
  <c r="W114" i="14"/>
  <c r="V114" i="14"/>
  <c r="W113" i="14"/>
  <c r="V113" i="14"/>
  <c r="W112" i="14"/>
  <c r="V112" i="14"/>
  <c r="W111" i="14"/>
  <c r="V111" i="14"/>
  <c r="W110" i="14"/>
  <c r="V110" i="14"/>
  <c r="W109" i="14"/>
  <c r="V109" i="14"/>
  <c r="W108" i="14"/>
  <c r="V108" i="14"/>
  <c r="W107" i="14"/>
  <c r="V107" i="14"/>
  <c r="W106" i="14"/>
  <c r="V106" i="14"/>
  <c r="W105" i="14"/>
  <c r="V105" i="14"/>
  <c r="W104" i="14"/>
  <c r="V104" i="14"/>
  <c r="W103" i="14"/>
  <c r="V103" i="14"/>
  <c r="W102" i="14"/>
  <c r="V102" i="14"/>
  <c r="W101" i="14"/>
  <c r="V101" i="14"/>
  <c r="W100" i="14"/>
  <c r="V100" i="14"/>
  <c r="W99" i="14"/>
  <c r="V99" i="14"/>
  <c r="W98" i="14"/>
  <c r="V98" i="14"/>
  <c r="W97" i="14"/>
  <c r="V97" i="14"/>
  <c r="W96" i="14"/>
  <c r="V96" i="14"/>
  <c r="W95" i="14"/>
  <c r="V95" i="14"/>
  <c r="W94" i="14"/>
  <c r="V94" i="14"/>
  <c r="W93" i="14"/>
  <c r="V93" i="14"/>
  <c r="W92" i="14"/>
  <c r="V92" i="14"/>
  <c r="W91" i="14"/>
  <c r="V91" i="14"/>
  <c r="W90" i="14"/>
  <c r="V90" i="14"/>
  <c r="W89" i="14"/>
  <c r="V89" i="14"/>
  <c r="W88" i="14"/>
  <c r="V88" i="14"/>
  <c r="W87" i="14"/>
  <c r="V87" i="14"/>
  <c r="W86" i="14"/>
  <c r="V86" i="14"/>
  <c r="W85" i="14"/>
  <c r="V85" i="14"/>
  <c r="W84" i="14"/>
  <c r="V84" i="14"/>
  <c r="W83" i="14"/>
  <c r="V83" i="14"/>
  <c r="W82" i="14"/>
  <c r="V82" i="14"/>
  <c r="W81" i="14"/>
  <c r="V81" i="14"/>
  <c r="W80" i="14"/>
  <c r="V80" i="14"/>
  <c r="W79" i="14"/>
  <c r="V79" i="14"/>
  <c r="W78" i="14"/>
  <c r="V78" i="14"/>
  <c r="W77" i="14"/>
  <c r="V77" i="14"/>
  <c r="W76" i="14"/>
  <c r="V76" i="14"/>
  <c r="W75" i="14"/>
  <c r="V75" i="14"/>
  <c r="W74" i="14"/>
  <c r="V74" i="14"/>
  <c r="W73" i="14"/>
  <c r="V73" i="14"/>
  <c r="W72" i="14"/>
  <c r="V72" i="14"/>
  <c r="W71" i="14"/>
  <c r="V71" i="14"/>
  <c r="W70" i="14"/>
  <c r="V70" i="14"/>
  <c r="W69" i="14"/>
  <c r="V69" i="14"/>
  <c r="W68" i="14"/>
  <c r="V68" i="14"/>
  <c r="W67" i="14"/>
  <c r="V67" i="14"/>
  <c r="W66" i="14"/>
  <c r="V66" i="14"/>
  <c r="W65" i="14"/>
  <c r="V65" i="14"/>
  <c r="W64" i="14"/>
  <c r="V64" i="14"/>
  <c r="W63" i="14"/>
  <c r="V63" i="14"/>
  <c r="W62" i="14"/>
  <c r="V62" i="14"/>
  <c r="W61" i="14"/>
  <c r="V61" i="14"/>
  <c r="W60" i="14"/>
  <c r="V60" i="14"/>
  <c r="W59" i="14"/>
  <c r="V59" i="14"/>
  <c r="W58" i="14"/>
  <c r="V58" i="14"/>
  <c r="W57" i="14"/>
  <c r="V57" i="14"/>
  <c r="W56" i="14"/>
  <c r="V56" i="14"/>
  <c r="W55" i="14"/>
  <c r="V55" i="14"/>
  <c r="W54" i="14"/>
  <c r="V54" i="14"/>
  <c r="W53" i="14"/>
  <c r="V53" i="14"/>
  <c r="W52" i="14"/>
  <c r="V52" i="14"/>
  <c r="W51" i="14"/>
  <c r="V51" i="14"/>
  <c r="W50" i="14"/>
  <c r="V50" i="14"/>
  <c r="W49" i="14"/>
  <c r="V49" i="14"/>
  <c r="W48" i="14"/>
  <c r="V48" i="14"/>
  <c r="W47" i="14"/>
  <c r="V47" i="14"/>
  <c r="W46" i="14"/>
  <c r="V46" i="14"/>
  <c r="W45" i="14"/>
  <c r="V45" i="14"/>
  <c r="W44" i="14"/>
  <c r="V44" i="14"/>
  <c r="W43" i="14"/>
  <c r="V43" i="14"/>
  <c r="W42" i="14"/>
  <c r="V42" i="14"/>
  <c r="W41" i="14"/>
  <c r="V41" i="14"/>
  <c r="W40" i="14"/>
  <c r="V40" i="14"/>
  <c r="W39" i="14"/>
  <c r="V39" i="14"/>
  <c r="W38" i="14"/>
  <c r="V38" i="14"/>
  <c r="W37" i="14"/>
  <c r="V37" i="14"/>
  <c r="W36" i="14"/>
  <c r="V36" i="14"/>
  <c r="W35" i="14"/>
  <c r="V35" i="14"/>
  <c r="W34" i="14"/>
  <c r="V34" i="14"/>
  <c r="W33" i="14"/>
  <c r="V33" i="14"/>
  <c r="W32" i="14"/>
  <c r="V32" i="14"/>
  <c r="W31" i="14"/>
  <c r="V31" i="14"/>
  <c r="W30" i="14"/>
  <c r="V30" i="14"/>
  <c r="W29" i="14"/>
  <c r="V29" i="14"/>
  <c r="W28" i="14"/>
  <c r="V28" i="14"/>
  <c r="W27" i="14"/>
  <c r="V27" i="14"/>
  <c r="W26" i="14"/>
  <c r="V26" i="14"/>
  <c r="W25" i="14"/>
  <c r="V25" i="14"/>
  <c r="W24" i="14"/>
  <c r="V24" i="14"/>
  <c r="W23" i="14"/>
  <c r="V23" i="14"/>
  <c r="W22" i="14"/>
  <c r="V22" i="14"/>
  <c r="W21" i="14"/>
  <c r="V21" i="14"/>
  <c r="W20" i="14"/>
  <c r="V20" i="14"/>
  <c r="W19" i="14"/>
  <c r="V19" i="14"/>
  <c r="W18" i="14"/>
  <c r="V18" i="14"/>
  <c r="W17" i="14"/>
  <c r="V17" i="14"/>
  <c r="W16" i="14"/>
  <c r="V16" i="14"/>
  <c r="W15" i="14"/>
  <c r="V15" i="14"/>
  <c r="W14" i="14"/>
  <c r="V14" i="14"/>
  <c r="W13" i="14"/>
  <c r="V13" i="14"/>
  <c r="W12" i="14"/>
  <c r="V12" i="14"/>
  <c r="W11" i="14"/>
  <c r="V11" i="14"/>
  <c r="W10" i="14"/>
  <c r="V10" i="14"/>
  <c r="W9" i="14"/>
  <c r="V9" i="14"/>
  <c r="W8" i="14"/>
  <c r="V8" i="14"/>
  <c r="W7" i="14"/>
  <c r="V7" i="14"/>
  <c r="W6" i="14"/>
  <c r="V6" i="14"/>
  <c r="W5" i="14"/>
  <c r="V5" i="14"/>
  <c r="W4" i="14"/>
  <c r="V4" i="14"/>
  <c r="W3" i="14"/>
  <c r="V3" i="14"/>
  <c r="W2" i="14"/>
  <c r="V2" i="14"/>
  <c r="W216" i="13"/>
  <c r="V216" i="13"/>
  <c r="W215" i="13"/>
  <c r="V215" i="13"/>
  <c r="W214" i="13"/>
  <c r="V214" i="13"/>
  <c r="W213" i="13"/>
  <c r="V213" i="13"/>
  <c r="W212" i="13"/>
  <c r="V212" i="13"/>
  <c r="W211" i="13"/>
  <c r="V211" i="13"/>
  <c r="W210" i="13"/>
  <c r="V210" i="13"/>
  <c r="W209" i="13"/>
  <c r="V209" i="13"/>
  <c r="W208" i="13"/>
  <c r="V208" i="13"/>
  <c r="W207" i="13"/>
  <c r="V207" i="13"/>
  <c r="W206" i="13"/>
  <c r="V206" i="13"/>
  <c r="W205" i="13"/>
  <c r="V205" i="13"/>
  <c r="W204" i="13"/>
  <c r="V204" i="13"/>
  <c r="W203" i="13"/>
  <c r="V203" i="13"/>
  <c r="W202" i="13"/>
  <c r="V202" i="13"/>
  <c r="W201" i="13"/>
  <c r="V201" i="13"/>
  <c r="W200" i="13"/>
  <c r="V200" i="13"/>
  <c r="W199" i="13"/>
  <c r="V199" i="13"/>
  <c r="W198" i="13"/>
  <c r="V198" i="13"/>
  <c r="W197" i="13"/>
  <c r="V197" i="13"/>
  <c r="W196" i="13"/>
  <c r="V196" i="13"/>
  <c r="W195" i="13"/>
  <c r="V195" i="13"/>
  <c r="W194" i="13"/>
  <c r="V194" i="13"/>
  <c r="W193" i="13"/>
  <c r="V193" i="13"/>
  <c r="W192" i="13"/>
  <c r="V192" i="13"/>
  <c r="W191" i="13"/>
  <c r="V191" i="13"/>
  <c r="W190" i="13"/>
  <c r="V190" i="13"/>
  <c r="W189" i="13"/>
  <c r="V189" i="13"/>
  <c r="W188" i="13"/>
  <c r="V188" i="13"/>
  <c r="W187" i="13"/>
  <c r="V187" i="13"/>
  <c r="W186" i="13"/>
  <c r="V186" i="13"/>
  <c r="W185" i="13"/>
  <c r="V185" i="13"/>
  <c r="W184" i="13"/>
  <c r="V184" i="13"/>
  <c r="W183" i="13"/>
  <c r="V183" i="13"/>
  <c r="W182" i="13"/>
  <c r="V182" i="13"/>
  <c r="W181" i="13"/>
  <c r="V181" i="13"/>
  <c r="W180" i="13"/>
  <c r="V180" i="13"/>
  <c r="W179" i="13"/>
  <c r="V179" i="13"/>
  <c r="W178" i="13"/>
  <c r="V178" i="13"/>
  <c r="W177" i="13"/>
  <c r="V177" i="13"/>
  <c r="W176" i="13"/>
  <c r="V176" i="13"/>
  <c r="W175" i="13"/>
  <c r="V175" i="13"/>
  <c r="W174" i="13"/>
  <c r="V174" i="13"/>
  <c r="W173" i="13"/>
  <c r="V173" i="13"/>
  <c r="W172" i="13"/>
  <c r="V172" i="13"/>
  <c r="W171" i="13"/>
  <c r="V171" i="13"/>
  <c r="W170" i="13"/>
  <c r="V170" i="13"/>
  <c r="W169" i="13"/>
  <c r="V169" i="13"/>
  <c r="W168" i="13"/>
  <c r="V168" i="13"/>
  <c r="W167" i="13"/>
  <c r="V167" i="13"/>
  <c r="W166" i="13"/>
  <c r="V166" i="13"/>
  <c r="W165" i="13"/>
  <c r="V165" i="13"/>
  <c r="W164" i="13"/>
  <c r="V164" i="13"/>
  <c r="W163" i="13"/>
  <c r="V163" i="13"/>
  <c r="W162" i="13"/>
  <c r="V162" i="13"/>
  <c r="W161" i="13"/>
  <c r="V161" i="13"/>
  <c r="W160" i="13"/>
  <c r="V160" i="13"/>
  <c r="W159" i="13"/>
  <c r="V159" i="13"/>
  <c r="W158" i="13"/>
  <c r="V158" i="13"/>
  <c r="W157" i="13"/>
  <c r="V157" i="13"/>
  <c r="W156" i="13"/>
  <c r="V156" i="13"/>
  <c r="W155" i="13"/>
  <c r="V155" i="13"/>
  <c r="W154" i="13"/>
  <c r="V154" i="13"/>
  <c r="W153" i="13"/>
  <c r="V153" i="13"/>
  <c r="W152" i="13"/>
  <c r="V152" i="13"/>
  <c r="W151" i="13"/>
  <c r="V151" i="13"/>
  <c r="W150" i="13"/>
  <c r="V150" i="13"/>
  <c r="W149" i="13"/>
  <c r="V149" i="13"/>
  <c r="W148" i="13"/>
  <c r="V148" i="13"/>
  <c r="W147" i="13"/>
  <c r="V147" i="13"/>
  <c r="W146" i="13"/>
  <c r="V146" i="13"/>
  <c r="W145" i="13"/>
  <c r="V145" i="13"/>
  <c r="W144" i="13"/>
  <c r="V144" i="13"/>
  <c r="W143" i="13"/>
  <c r="V143" i="13"/>
  <c r="W142" i="13"/>
  <c r="V142" i="13"/>
  <c r="W141" i="13"/>
  <c r="V141" i="13"/>
  <c r="W140" i="13"/>
  <c r="V140" i="13"/>
  <c r="W139" i="13"/>
  <c r="V139" i="13"/>
  <c r="W138" i="13"/>
  <c r="V138" i="13"/>
  <c r="W137" i="13"/>
  <c r="V137" i="13"/>
  <c r="W136" i="13"/>
  <c r="V136" i="13"/>
  <c r="W135" i="13"/>
  <c r="V135" i="13"/>
  <c r="W134" i="13"/>
  <c r="V134" i="13"/>
  <c r="W133" i="13"/>
  <c r="V133" i="13"/>
  <c r="W132" i="13"/>
  <c r="V132" i="13"/>
  <c r="W131" i="13"/>
  <c r="V131" i="13"/>
  <c r="W130" i="13"/>
  <c r="V130" i="13"/>
  <c r="W129" i="13"/>
  <c r="V129" i="13"/>
  <c r="W128" i="13"/>
  <c r="V128" i="13"/>
  <c r="W127" i="13"/>
  <c r="V127" i="13"/>
  <c r="W126" i="13"/>
  <c r="V126" i="13"/>
  <c r="W125" i="13"/>
  <c r="V125" i="13"/>
  <c r="W124" i="13"/>
  <c r="V124" i="13"/>
  <c r="W123" i="13"/>
  <c r="V123" i="13"/>
  <c r="W122" i="13"/>
  <c r="V122" i="13"/>
  <c r="W121" i="13"/>
  <c r="V121" i="13"/>
  <c r="W120" i="13"/>
  <c r="V120" i="13"/>
  <c r="W119" i="13"/>
  <c r="V119" i="13"/>
  <c r="W118" i="13"/>
  <c r="V118" i="13"/>
  <c r="W117" i="13"/>
  <c r="V117" i="13"/>
  <c r="W116" i="13"/>
  <c r="V116" i="13"/>
  <c r="W115" i="13"/>
  <c r="V115" i="13"/>
  <c r="W114" i="13"/>
  <c r="V114" i="13"/>
  <c r="W113" i="13"/>
  <c r="V113" i="13"/>
  <c r="W112" i="13"/>
  <c r="V112" i="13"/>
  <c r="W111" i="13"/>
  <c r="V111" i="13"/>
  <c r="W110" i="13"/>
  <c r="V110" i="13"/>
  <c r="W109" i="13"/>
  <c r="V109" i="13"/>
  <c r="W108" i="13"/>
  <c r="V108" i="13"/>
  <c r="W107" i="13"/>
  <c r="V107" i="13"/>
  <c r="W106" i="13"/>
  <c r="V106" i="13"/>
  <c r="W105" i="13"/>
  <c r="V105" i="13"/>
  <c r="W104" i="13"/>
  <c r="V104" i="13"/>
  <c r="W103" i="13"/>
  <c r="V103" i="13"/>
  <c r="W102" i="13"/>
  <c r="V102" i="13"/>
  <c r="W101" i="13"/>
  <c r="V101" i="13"/>
  <c r="W100" i="13"/>
  <c r="V100" i="13"/>
  <c r="W99" i="13"/>
  <c r="V99" i="13"/>
  <c r="W98" i="13"/>
  <c r="V98" i="13"/>
  <c r="W97" i="13"/>
  <c r="V97" i="13"/>
  <c r="W96" i="13"/>
  <c r="V96" i="13"/>
  <c r="W95" i="13"/>
  <c r="V95" i="13"/>
  <c r="W94" i="13"/>
  <c r="V94" i="13"/>
  <c r="W93" i="13"/>
  <c r="V93" i="13"/>
  <c r="W92" i="13"/>
  <c r="V92" i="13"/>
  <c r="W91" i="13"/>
  <c r="V91" i="13"/>
  <c r="W90" i="13"/>
  <c r="V90" i="13"/>
  <c r="W89" i="13"/>
  <c r="V89" i="13"/>
  <c r="W88" i="13"/>
  <c r="V88" i="13"/>
  <c r="W87" i="13"/>
  <c r="V87" i="13"/>
  <c r="W86" i="13"/>
  <c r="V86" i="13"/>
  <c r="W85" i="13"/>
  <c r="V85" i="13"/>
  <c r="W84" i="13"/>
  <c r="V84" i="13"/>
  <c r="W83" i="13"/>
  <c r="V83" i="13"/>
  <c r="W82" i="13"/>
  <c r="V82" i="13"/>
  <c r="W81" i="13"/>
  <c r="V81" i="13"/>
  <c r="W80" i="13"/>
  <c r="V80" i="13"/>
  <c r="W79" i="13"/>
  <c r="V79" i="13"/>
  <c r="W78" i="13"/>
  <c r="V78" i="13"/>
  <c r="W77" i="13"/>
  <c r="V77" i="13"/>
  <c r="W76" i="13"/>
  <c r="V76" i="13"/>
  <c r="W75" i="13"/>
  <c r="V75" i="13"/>
  <c r="W74" i="13"/>
  <c r="V74" i="13"/>
  <c r="W73" i="13"/>
  <c r="V73" i="13"/>
  <c r="W72" i="13"/>
  <c r="V72" i="13"/>
  <c r="W71" i="13"/>
  <c r="V71" i="13"/>
  <c r="W70" i="13"/>
  <c r="V70" i="13"/>
  <c r="W69" i="13"/>
  <c r="V69" i="13"/>
  <c r="W68" i="13"/>
  <c r="V68" i="13"/>
  <c r="W67" i="13"/>
  <c r="V67" i="13"/>
  <c r="W66" i="13"/>
  <c r="V66" i="13"/>
  <c r="W65" i="13"/>
  <c r="V65" i="13"/>
  <c r="W64" i="13"/>
  <c r="V64" i="13"/>
  <c r="W63" i="13"/>
  <c r="V63" i="13"/>
  <c r="W62" i="13"/>
  <c r="V62" i="13"/>
  <c r="W61" i="13"/>
  <c r="V61" i="13"/>
  <c r="W60" i="13"/>
  <c r="V60" i="13"/>
  <c r="W59" i="13"/>
  <c r="V59" i="13"/>
  <c r="W58" i="13"/>
  <c r="V58" i="13"/>
  <c r="W57" i="13"/>
  <c r="V57" i="13"/>
  <c r="W56" i="13"/>
  <c r="V56" i="13"/>
  <c r="W55" i="13"/>
  <c r="V55" i="13"/>
  <c r="W54" i="13"/>
  <c r="V54" i="13"/>
  <c r="W53" i="13"/>
  <c r="V53" i="13"/>
  <c r="W52" i="13"/>
  <c r="V52" i="13"/>
  <c r="W51" i="13"/>
  <c r="V51" i="13"/>
  <c r="W50" i="13"/>
  <c r="V50" i="13"/>
  <c r="W49" i="13"/>
  <c r="V49" i="13"/>
  <c r="W48" i="13"/>
  <c r="V48" i="13"/>
  <c r="W47" i="13"/>
  <c r="V47" i="13"/>
  <c r="W46" i="13"/>
  <c r="V46" i="13"/>
  <c r="W45" i="13"/>
  <c r="V45" i="13"/>
  <c r="W44" i="13"/>
  <c r="V44" i="13"/>
  <c r="W43" i="13"/>
  <c r="V43" i="13"/>
  <c r="W42" i="13"/>
  <c r="V42" i="13"/>
  <c r="W41" i="13"/>
  <c r="V41" i="13"/>
  <c r="W40" i="13"/>
  <c r="V40" i="13"/>
  <c r="W39" i="13"/>
  <c r="V39" i="13"/>
  <c r="W38" i="13"/>
  <c r="V38" i="13"/>
  <c r="W37" i="13"/>
  <c r="V37" i="13"/>
  <c r="W36" i="13"/>
  <c r="V36" i="13"/>
  <c r="W35" i="13"/>
  <c r="V35" i="13"/>
  <c r="W34" i="13"/>
  <c r="V34" i="13"/>
  <c r="W33" i="13"/>
  <c r="V33" i="13"/>
  <c r="W32" i="13"/>
  <c r="V32" i="13"/>
  <c r="W31" i="13"/>
  <c r="V31" i="13"/>
  <c r="W30" i="13"/>
  <c r="V30" i="13"/>
  <c r="W29" i="13"/>
  <c r="V29" i="13"/>
  <c r="W28" i="13"/>
  <c r="V28" i="13"/>
  <c r="W27" i="13"/>
  <c r="V27" i="13"/>
  <c r="W26" i="13"/>
  <c r="V26" i="13"/>
  <c r="W25" i="13"/>
  <c r="V25" i="13"/>
  <c r="W24" i="13"/>
  <c r="V24" i="13"/>
  <c r="W23" i="13"/>
  <c r="V23" i="13"/>
  <c r="W22" i="13"/>
  <c r="V22" i="13"/>
  <c r="W21" i="13"/>
  <c r="V21" i="13"/>
  <c r="W20" i="13"/>
  <c r="V20" i="13"/>
  <c r="W19" i="13"/>
  <c r="V19" i="13"/>
  <c r="W18" i="13"/>
  <c r="V18" i="13"/>
  <c r="W17" i="13"/>
  <c r="V17" i="13"/>
  <c r="W16" i="13"/>
  <c r="V16" i="13"/>
  <c r="W15" i="13"/>
  <c r="V15" i="13"/>
  <c r="W14" i="13"/>
  <c r="V14" i="13"/>
  <c r="W13" i="13"/>
  <c r="V13" i="13"/>
  <c r="W12" i="13"/>
  <c r="V12" i="13"/>
  <c r="W11" i="13"/>
  <c r="V11" i="13"/>
  <c r="W10" i="13"/>
  <c r="V10" i="13"/>
  <c r="W9" i="13"/>
  <c r="V9" i="13"/>
  <c r="W8" i="13"/>
  <c r="V8" i="13"/>
  <c r="W7" i="13"/>
  <c r="V7" i="13"/>
  <c r="W6" i="13"/>
  <c r="V6" i="13"/>
  <c r="W5" i="13"/>
  <c r="V5" i="13"/>
  <c r="W4" i="13"/>
  <c r="V4" i="13"/>
  <c r="W3" i="13"/>
  <c r="V3" i="13"/>
  <c r="W2" i="13"/>
  <c r="V2" i="13"/>
  <c r="W216" i="12"/>
  <c r="V216" i="12"/>
  <c r="W215" i="12"/>
  <c r="V215" i="12"/>
  <c r="W214" i="12"/>
  <c r="V214" i="12"/>
  <c r="W213" i="12"/>
  <c r="V213" i="12"/>
  <c r="W212" i="12"/>
  <c r="V212" i="12"/>
  <c r="W211" i="12"/>
  <c r="V211" i="12"/>
  <c r="W210" i="12"/>
  <c r="V210" i="12"/>
  <c r="W209" i="12"/>
  <c r="V209" i="12"/>
  <c r="W208" i="12"/>
  <c r="V208" i="12"/>
  <c r="W207" i="12"/>
  <c r="V207" i="12"/>
  <c r="W206" i="12"/>
  <c r="V206" i="12"/>
  <c r="W205" i="12"/>
  <c r="V205" i="12"/>
  <c r="W204" i="12"/>
  <c r="V204" i="12"/>
  <c r="W203" i="12"/>
  <c r="V203" i="12"/>
  <c r="W202" i="12"/>
  <c r="V202" i="12"/>
  <c r="W201" i="12"/>
  <c r="V201" i="12"/>
  <c r="W200" i="12"/>
  <c r="V200" i="12"/>
  <c r="W199" i="12"/>
  <c r="V199" i="12"/>
  <c r="W198" i="12"/>
  <c r="V198" i="12"/>
  <c r="W197" i="12"/>
  <c r="V197" i="12"/>
  <c r="W196" i="12"/>
  <c r="V196" i="12"/>
  <c r="W195" i="12"/>
  <c r="V195" i="12"/>
  <c r="W194" i="12"/>
  <c r="V194" i="12"/>
  <c r="W193" i="12"/>
  <c r="V193" i="12"/>
  <c r="W192" i="12"/>
  <c r="V192" i="12"/>
  <c r="W191" i="12"/>
  <c r="V191" i="12"/>
  <c r="W190" i="12"/>
  <c r="V190" i="12"/>
  <c r="W189" i="12"/>
  <c r="V189" i="12"/>
  <c r="W188" i="12"/>
  <c r="V188" i="12"/>
  <c r="W187" i="12"/>
  <c r="V187" i="12"/>
  <c r="W186" i="12"/>
  <c r="V186" i="12"/>
  <c r="W185" i="12"/>
  <c r="V185" i="12"/>
  <c r="W184" i="12"/>
  <c r="V184" i="12"/>
  <c r="W183" i="12"/>
  <c r="V183" i="12"/>
  <c r="W182" i="12"/>
  <c r="V182" i="12"/>
  <c r="W181" i="12"/>
  <c r="V181" i="12"/>
  <c r="W180" i="12"/>
  <c r="V180" i="12"/>
  <c r="W179" i="12"/>
  <c r="V179" i="12"/>
  <c r="W178" i="12"/>
  <c r="V178" i="12"/>
  <c r="W177" i="12"/>
  <c r="V177" i="12"/>
  <c r="W176" i="12"/>
  <c r="V176" i="12"/>
  <c r="W175" i="12"/>
  <c r="V175" i="12"/>
  <c r="W174" i="12"/>
  <c r="V174" i="12"/>
  <c r="W173" i="12"/>
  <c r="V173" i="12"/>
  <c r="W172" i="12"/>
  <c r="V172" i="12"/>
  <c r="W171" i="12"/>
  <c r="V171" i="12"/>
  <c r="W170" i="12"/>
  <c r="V170" i="12"/>
  <c r="W169" i="12"/>
  <c r="V169" i="12"/>
  <c r="W168" i="12"/>
  <c r="V168" i="12"/>
  <c r="W167" i="12"/>
  <c r="V167" i="12"/>
  <c r="W166" i="12"/>
  <c r="V166" i="12"/>
  <c r="W165" i="12"/>
  <c r="V165" i="12"/>
  <c r="W164" i="12"/>
  <c r="V164" i="12"/>
  <c r="W163" i="12"/>
  <c r="V163" i="12"/>
  <c r="W162" i="12"/>
  <c r="V162" i="12"/>
  <c r="W161" i="12"/>
  <c r="V161" i="12"/>
  <c r="W160" i="12"/>
  <c r="V160" i="12"/>
  <c r="W159" i="12"/>
  <c r="V159" i="12"/>
  <c r="W158" i="12"/>
  <c r="V158" i="12"/>
  <c r="W157" i="12"/>
  <c r="V157" i="12"/>
  <c r="W156" i="12"/>
  <c r="V156" i="12"/>
  <c r="W155" i="12"/>
  <c r="V155" i="12"/>
  <c r="W154" i="12"/>
  <c r="V154" i="12"/>
  <c r="W153" i="12"/>
  <c r="V153" i="12"/>
  <c r="W152" i="12"/>
  <c r="V152" i="12"/>
  <c r="W151" i="12"/>
  <c r="V151" i="12"/>
  <c r="W150" i="12"/>
  <c r="V150" i="12"/>
  <c r="W149" i="12"/>
  <c r="V149" i="12"/>
  <c r="W148" i="12"/>
  <c r="V148" i="12"/>
  <c r="W147" i="12"/>
  <c r="V147" i="12"/>
  <c r="W146" i="12"/>
  <c r="V146" i="12"/>
  <c r="W145" i="12"/>
  <c r="V145" i="12"/>
  <c r="W144" i="12"/>
  <c r="V144" i="12"/>
  <c r="W143" i="12"/>
  <c r="V143" i="12"/>
  <c r="W142" i="12"/>
  <c r="V142" i="12"/>
  <c r="W141" i="12"/>
  <c r="V141" i="12"/>
  <c r="W140" i="12"/>
  <c r="V140" i="12"/>
  <c r="W139" i="12"/>
  <c r="V139" i="12"/>
  <c r="W138" i="12"/>
  <c r="V138" i="12"/>
  <c r="W137" i="12"/>
  <c r="V137" i="12"/>
  <c r="W136" i="12"/>
  <c r="V136" i="12"/>
  <c r="W135" i="12"/>
  <c r="V135" i="12"/>
  <c r="W134" i="12"/>
  <c r="V134" i="12"/>
  <c r="W133" i="12"/>
  <c r="V133" i="12"/>
  <c r="W132" i="12"/>
  <c r="V132" i="12"/>
  <c r="W131" i="12"/>
  <c r="V131" i="12"/>
  <c r="W130" i="12"/>
  <c r="V130" i="12"/>
  <c r="W129" i="12"/>
  <c r="V129" i="12"/>
  <c r="W128" i="12"/>
  <c r="V128" i="12"/>
  <c r="W127" i="12"/>
  <c r="V127" i="12"/>
  <c r="W126" i="12"/>
  <c r="V126" i="12"/>
  <c r="W125" i="12"/>
  <c r="V125" i="12"/>
  <c r="W124" i="12"/>
  <c r="V124" i="12"/>
  <c r="W123" i="12"/>
  <c r="V123" i="12"/>
  <c r="W122" i="12"/>
  <c r="V122" i="12"/>
  <c r="W121" i="12"/>
  <c r="V121" i="12"/>
  <c r="W120" i="12"/>
  <c r="V120" i="12"/>
  <c r="W119" i="12"/>
  <c r="V119" i="12"/>
  <c r="W118" i="12"/>
  <c r="V118" i="12"/>
  <c r="W117" i="12"/>
  <c r="V117" i="12"/>
  <c r="W116" i="12"/>
  <c r="V116" i="12"/>
  <c r="W115" i="12"/>
  <c r="V115" i="12"/>
  <c r="W114" i="12"/>
  <c r="V114" i="12"/>
  <c r="W113" i="12"/>
  <c r="V113" i="12"/>
  <c r="W112" i="12"/>
  <c r="V112" i="12"/>
  <c r="W111" i="12"/>
  <c r="V111" i="12"/>
  <c r="W110" i="12"/>
  <c r="V110" i="12"/>
  <c r="W109" i="12"/>
  <c r="V109" i="12"/>
  <c r="W108" i="12"/>
  <c r="V108" i="12"/>
  <c r="W107" i="12"/>
  <c r="V107" i="12"/>
  <c r="W106" i="12"/>
  <c r="V106" i="12"/>
  <c r="W105" i="12"/>
  <c r="V105" i="12"/>
  <c r="W104" i="12"/>
  <c r="V104" i="12"/>
  <c r="W103" i="12"/>
  <c r="V103" i="12"/>
  <c r="W102" i="12"/>
  <c r="V102" i="12"/>
  <c r="W101" i="12"/>
  <c r="V101" i="12"/>
  <c r="W100" i="12"/>
  <c r="V100" i="12"/>
  <c r="W99" i="12"/>
  <c r="V99" i="12"/>
  <c r="W98" i="12"/>
  <c r="V98" i="12"/>
  <c r="W97" i="12"/>
  <c r="V97" i="12"/>
  <c r="W96" i="12"/>
  <c r="V96" i="12"/>
  <c r="W95" i="12"/>
  <c r="V95" i="12"/>
  <c r="W94" i="12"/>
  <c r="V94" i="12"/>
  <c r="W93" i="12"/>
  <c r="V93" i="12"/>
  <c r="W92" i="12"/>
  <c r="V92" i="12"/>
  <c r="W91" i="12"/>
  <c r="V91" i="12"/>
  <c r="W90" i="12"/>
  <c r="V90" i="12"/>
  <c r="W89" i="12"/>
  <c r="V89" i="12"/>
  <c r="W88" i="12"/>
  <c r="V88" i="12"/>
  <c r="W87" i="12"/>
  <c r="V87" i="12"/>
  <c r="W86" i="12"/>
  <c r="V86" i="12"/>
  <c r="W85" i="12"/>
  <c r="V85" i="12"/>
  <c r="W84" i="12"/>
  <c r="V84" i="12"/>
  <c r="W83" i="12"/>
  <c r="V83" i="12"/>
  <c r="W82" i="12"/>
  <c r="V82" i="12"/>
  <c r="W81" i="12"/>
  <c r="V81" i="12"/>
  <c r="W80" i="12"/>
  <c r="V80" i="12"/>
  <c r="W79" i="12"/>
  <c r="V79" i="12"/>
  <c r="W78" i="12"/>
  <c r="V78" i="12"/>
  <c r="W77" i="12"/>
  <c r="V77" i="12"/>
  <c r="W76" i="12"/>
  <c r="V76" i="12"/>
  <c r="W75" i="12"/>
  <c r="V75" i="12"/>
  <c r="W74" i="12"/>
  <c r="V74" i="12"/>
  <c r="W73" i="12"/>
  <c r="V73" i="12"/>
  <c r="W72" i="12"/>
  <c r="V72" i="12"/>
  <c r="W71" i="12"/>
  <c r="V71" i="12"/>
  <c r="W70" i="12"/>
  <c r="V70" i="12"/>
  <c r="W69" i="12"/>
  <c r="V69" i="12"/>
  <c r="W68" i="12"/>
  <c r="V68" i="12"/>
  <c r="W67" i="12"/>
  <c r="V67" i="12"/>
  <c r="W66" i="12"/>
  <c r="V66" i="12"/>
  <c r="W65" i="12"/>
  <c r="V65" i="12"/>
  <c r="W64" i="12"/>
  <c r="V64" i="12"/>
  <c r="W63" i="12"/>
  <c r="V63" i="12"/>
  <c r="W62" i="12"/>
  <c r="V62" i="12"/>
  <c r="W61" i="12"/>
  <c r="V61" i="12"/>
  <c r="W60" i="12"/>
  <c r="V60" i="12"/>
  <c r="W59" i="12"/>
  <c r="V59" i="12"/>
  <c r="W58" i="12"/>
  <c r="V58" i="12"/>
  <c r="W57" i="12"/>
  <c r="V57" i="12"/>
  <c r="W56" i="12"/>
  <c r="V56" i="12"/>
  <c r="W55" i="12"/>
  <c r="V55" i="12"/>
  <c r="W54" i="12"/>
  <c r="V54" i="12"/>
  <c r="W53" i="12"/>
  <c r="V53" i="12"/>
  <c r="W52" i="12"/>
  <c r="V52" i="12"/>
  <c r="W51" i="12"/>
  <c r="V51" i="12"/>
  <c r="W50" i="12"/>
  <c r="V50" i="12"/>
  <c r="W49" i="12"/>
  <c r="V49" i="12"/>
  <c r="W48" i="12"/>
  <c r="V48" i="12"/>
  <c r="W47" i="12"/>
  <c r="V47" i="12"/>
  <c r="W46" i="12"/>
  <c r="V46" i="12"/>
  <c r="W45" i="12"/>
  <c r="V45" i="12"/>
  <c r="W44" i="12"/>
  <c r="V44" i="12"/>
  <c r="W43" i="12"/>
  <c r="V43" i="12"/>
  <c r="W42" i="12"/>
  <c r="V42" i="12"/>
  <c r="W41" i="12"/>
  <c r="V41" i="12"/>
  <c r="W40" i="12"/>
  <c r="V40" i="12"/>
  <c r="W39" i="12"/>
  <c r="V39" i="12"/>
  <c r="W38" i="12"/>
  <c r="V38" i="12"/>
  <c r="W37" i="12"/>
  <c r="V37" i="12"/>
  <c r="W36" i="12"/>
  <c r="V36" i="12"/>
  <c r="W35" i="12"/>
  <c r="V35" i="12"/>
  <c r="W34" i="12"/>
  <c r="V34" i="12"/>
  <c r="W33" i="12"/>
  <c r="V33" i="12"/>
  <c r="W32" i="12"/>
  <c r="V32" i="12"/>
  <c r="W31" i="12"/>
  <c r="V31" i="12"/>
  <c r="W30" i="12"/>
  <c r="V30" i="12"/>
  <c r="W29" i="12"/>
  <c r="V29" i="12"/>
  <c r="W28" i="12"/>
  <c r="V28" i="12"/>
  <c r="W27" i="12"/>
  <c r="V27" i="12"/>
  <c r="W26" i="12"/>
  <c r="V26" i="12"/>
  <c r="W25" i="12"/>
  <c r="V25" i="12"/>
  <c r="W24" i="12"/>
  <c r="V24" i="12"/>
  <c r="W23" i="12"/>
  <c r="V23" i="12"/>
  <c r="W22" i="12"/>
  <c r="V22" i="12"/>
  <c r="W21" i="12"/>
  <c r="V21" i="12"/>
  <c r="W20" i="12"/>
  <c r="V20" i="12"/>
  <c r="W19" i="12"/>
  <c r="V19" i="12"/>
  <c r="W18" i="12"/>
  <c r="V18" i="12"/>
  <c r="W17" i="12"/>
  <c r="V17" i="12"/>
  <c r="W16" i="12"/>
  <c r="V16" i="12"/>
  <c r="W15" i="12"/>
  <c r="V15" i="12"/>
  <c r="W14" i="12"/>
  <c r="V14" i="12"/>
  <c r="W13" i="12"/>
  <c r="V13" i="12"/>
  <c r="W12" i="12"/>
  <c r="V12" i="12"/>
  <c r="W11" i="12"/>
  <c r="V11" i="12"/>
  <c r="W10" i="12"/>
  <c r="V10" i="12"/>
  <c r="W9" i="12"/>
  <c r="V9" i="12"/>
  <c r="W8" i="12"/>
  <c r="V8" i="12"/>
  <c r="W7" i="12"/>
  <c r="V7" i="12"/>
  <c r="W6" i="12"/>
  <c r="V6" i="12"/>
  <c r="W5" i="12"/>
  <c r="V5" i="12"/>
  <c r="W4" i="12"/>
  <c r="V4" i="12"/>
  <c r="W3" i="12"/>
  <c r="V3" i="12"/>
  <c r="W2" i="12"/>
  <c r="V2" i="12"/>
  <c r="W216" i="11"/>
  <c r="V216" i="11"/>
  <c r="W215" i="11"/>
  <c r="V215" i="11"/>
  <c r="W214" i="11"/>
  <c r="V214" i="11"/>
  <c r="W213" i="11"/>
  <c r="V213" i="11"/>
  <c r="W212" i="11"/>
  <c r="V212" i="11"/>
  <c r="W211" i="11"/>
  <c r="V211" i="11"/>
  <c r="W210" i="11"/>
  <c r="V210" i="11"/>
  <c r="W209" i="11"/>
  <c r="V209" i="11"/>
  <c r="W208" i="11"/>
  <c r="V208" i="11"/>
  <c r="W207" i="11"/>
  <c r="V207" i="11"/>
  <c r="W206" i="11"/>
  <c r="V206" i="11"/>
  <c r="W205" i="11"/>
  <c r="V205" i="11"/>
  <c r="W204" i="11"/>
  <c r="V204" i="11"/>
  <c r="W203" i="11"/>
  <c r="V203" i="11"/>
  <c r="W202" i="11"/>
  <c r="V202" i="11"/>
  <c r="W201" i="11"/>
  <c r="V201" i="11"/>
  <c r="W200" i="11"/>
  <c r="V200" i="11"/>
  <c r="W199" i="11"/>
  <c r="V199" i="11"/>
  <c r="W198" i="11"/>
  <c r="V198" i="11"/>
  <c r="W197" i="11"/>
  <c r="V197" i="11"/>
  <c r="W196" i="11"/>
  <c r="V196" i="11"/>
  <c r="W195" i="11"/>
  <c r="V195" i="11"/>
  <c r="W194" i="11"/>
  <c r="V194" i="11"/>
  <c r="W193" i="11"/>
  <c r="V193" i="11"/>
  <c r="W192" i="11"/>
  <c r="V192" i="11"/>
  <c r="W191" i="11"/>
  <c r="V191" i="11"/>
  <c r="W190" i="11"/>
  <c r="V190" i="11"/>
  <c r="W189" i="11"/>
  <c r="V189" i="11"/>
  <c r="W188" i="11"/>
  <c r="V188" i="11"/>
  <c r="W187" i="11"/>
  <c r="V187" i="11"/>
  <c r="W186" i="11"/>
  <c r="V186" i="11"/>
  <c r="W185" i="11"/>
  <c r="V185" i="11"/>
  <c r="W184" i="11"/>
  <c r="V184" i="11"/>
  <c r="W183" i="11"/>
  <c r="V183" i="11"/>
  <c r="W182" i="11"/>
  <c r="V182" i="11"/>
  <c r="W181" i="11"/>
  <c r="V181" i="11"/>
  <c r="W180" i="11"/>
  <c r="V180" i="11"/>
  <c r="W179" i="11"/>
  <c r="V179" i="11"/>
  <c r="W178" i="11"/>
  <c r="V178" i="11"/>
  <c r="W177" i="11"/>
  <c r="V177" i="11"/>
  <c r="W176" i="11"/>
  <c r="V176" i="11"/>
  <c r="W175" i="11"/>
  <c r="V175" i="11"/>
  <c r="W174" i="11"/>
  <c r="V174" i="11"/>
  <c r="W173" i="11"/>
  <c r="V173" i="11"/>
  <c r="W172" i="11"/>
  <c r="V172" i="11"/>
  <c r="W171" i="11"/>
  <c r="V171" i="11"/>
  <c r="W170" i="11"/>
  <c r="V170" i="11"/>
  <c r="W169" i="11"/>
  <c r="V169" i="11"/>
  <c r="W168" i="11"/>
  <c r="V168" i="11"/>
  <c r="W167" i="11"/>
  <c r="V167" i="11"/>
  <c r="W166" i="11"/>
  <c r="V166" i="11"/>
  <c r="W165" i="11"/>
  <c r="V165" i="11"/>
  <c r="W164" i="11"/>
  <c r="V164" i="11"/>
  <c r="W163" i="11"/>
  <c r="V163" i="11"/>
  <c r="W162" i="11"/>
  <c r="V162" i="11"/>
  <c r="W161" i="11"/>
  <c r="V161" i="11"/>
  <c r="W160" i="11"/>
  <c r="V160" i="11"/>
  <c r="W159" i="11"/>
  <c r="V159" i="11"/>
  <c r="W158" i="11"/>
  <c r="V158" i="11"/>
  <c r="W157" i="11"/>
  <c r="V157" i="11"/>
  <c r="W156" i="11"/>
  <c r="V156" i="11"/>
  <c r="W155" i="11"/>
  <c r="V155" i="11"/>
  <c r="W154" i="11"/>
  <c r="V154" i="11"/>
  <c r="W153" i="11"/>
  <c r="V153" i="11"/>
  <c r="W152" i="11"/>
  <c r="V152" i="11"/>
  <c r="W151" i="11"/>
  <c r="V151" i="11"/>
  <c r="W150" i="11"/>
  <c r="V150" i="11"/>
  <c r="W149" i="11"/>
  <c r="V149" i="11"/>
  <c r="W148" i="11"/>
  <c r="V148" i="11"/>
  <c r="W147" i="11"/>
  <c r="V147" i="11"/>
  <c r="W146" i="11"/>
  <c r="V146" i="11"/>
  <c r="W145" i="11"/>
  <c r="V145" i="11"/>
  <c r="W144" i="11"/>
  <c r="V144" i="11"/>
  <c r="W143" i="11"/>
  <c r="V143" i="11"/>
  <c r="W142" i="11"/>
  <c r="V142" i="11"/>
  <c r="W141" i="11"/>
  <c r="V141" i="11"/>
  <c r="W140" i="11"/>
  <c r="V140" i="11"/>
  <c r="W139" i="11"/>
  <c r="V139" i="11"/>
  <c r="W138" i="11"/>
  <c r="V138" i="11"/>
  <c r="W137" i="11"/>
  <c r="V137" i="11"/>
  <c r="W136" i="11"/>
  <c r="V136" i="11"/>
  <c r="W135" i="11"/>
  <c r="V135" i="11"/>
  <c r="W134" i="11"/>
  <c r="V134" i="11"/>
  <c r="W133" i="11"/>
  <c r="V133" i="11"/>
  <c r="W132" i="11"/>
  <c r="V132" i="11"/>
  <c r="W131" i="11"/>
  <c r="V131" i="11"/>
  <c r="W130" i="11"/>
  <c r="V130" i="11"/>
  <c r="W129" i="11"/>
  <c r="V129" i="11"/>
  <c r="W128" i="11"/>
  <c r="V128" i="11"/>
  <c r="W127" i="11"/>
  <c r="V127" i="11"/>
  <c r="W126" i="11"/>
  <c r="V126" i="11"/>
  <c r="W125" i="11"/>
  <c r="V125" i="11"/>
  <c r="W124" i="11"/>
  <c r="V124" i="11"/>
  <c r="W123" i="11"/>
  <c r="V123" i="11"/>
  <c r="W122" i="11"/>
  <c r="V122" i="11"/>
  <c r="W121" i="11"/>
  <c r="V121" i="11"/>
  <c r="W120" i="11"/>
  <c r="V120" i="11"/>
  <c r="W119" i="11"/>
  <c r="V119" i="11"/>
  <c r="W118" i="11"/>
  <c r="V118" i="11"/>
  <c r="W117" i="11"/>
  <c r="V117" i="11"/>
  <c r="W116" i="11"/>
  <c r="V116" i="11"/>
  <c r="W115" i="11"/>
  <c r="V115" i="11"/>
  <c r="W114" i="11"/>
  <c r="V114" i="11"/>
  <c r="W113" i="11"/>
  <c r="V113" i="11"/>
  <c r="W112" i="11"/>
  <c r="V112" i="11"/>
  <c r="W111" i="11"/>
  <c r="V111" i="11"/>
  <c r="W110" i="11"/>
  <c r="V110" i="11"/>
  <c r="W109" i="11"/>
  <c r="V109" i="11"/>
  <c r="W108" i="11"/>
  <c r="V108" i="11"/>
  <c r="W107" i="11"/>
  <c r="V107" i="11"/>
  <c r="W106" i="11"/>
  <c r="V106" i="11"/>
  <c r="W105" i="11"/>
  <c r="V105" i="11"/>
  <c r="W104" i="11"/>
  <c r="V104" i="11"/>
  <c r="W103" i="11"/>
  <c r="V103" i="11"/>
  <c r="W102" i="11"/>
  <c r="V102" i="11"/>
  <c r="W101" i="11"/>
  <c r="V101" i="11"/>
  <c r="W100" i="11"/>
  <c r="V100" i="11"/>
  <c r="W99" i="11"/>
  <c r="V99" i="11"/>
  <c r="W98" i="11"/>
  <c r="V98" i="11"/>
  <c r="W97" i="11"/>
  <c r="V97" i="11"/>
  <c r="W96" i="11"/>
  <c r="V96" i="11"/>
  <c r="W95" i="11"/>
  <c r="V95" i="11"/>
  <c r="W94" i="11"/>
  <c r="V94" i="11"/>
  <c r="W93" i="11"/>
  <c r="V93" i="11"/>
  <c r="W92" i="11"/>
  <c r="V92" i="11"/>
  <c r="W91" i="11"/>
  <c r="V91" i="11"/>
  <c r="W90" i="11"/>
  <c r="V90" i="11"/>
  <c r="W89" i="11"/>
  <c r="V89" i="11"/>
  <c r="W88" i="11"/>
  <c r="V88" i="11"/>
  <c r="W87" i="11"/>
  <c r="V87" i="11"/>
  <c r="W86" i="11"/>
  <c r="V86" i="11"/>
  <c r="W85" i="11"/>
  <c r="V85" i="11"/>
  <c r="W84" i="11"/>
  <c r="V84" i="11"/>
  <c r="W83" i="11"/>
  <c r="V83" i="11"/>
  <c r="W82" i="11"/>
  <c r="V82" i="11"/>
  <c r="W81" i="11"/>
  <c r="V81" i="11"/>
  <c r="W80" i="11"/>
  <c r="V80" i="11"/>
  <c r="W79" i="11"/>
  <c r="V79" i="11"/>
  <c r="W78" i="11"/>
  <c r="V78" i="11"/>
  <c r="W77" i="11"/>
  <c r="V77" i="11"/>
  <c r="W76" i="11"/>
  <c r="V76" i="11"/>
  <c r="W75" i="11"/>
  <c r="V75" i="11"/>
  <c r="W74" i="11"/>
  <c r="V74" i="11"/>
  <c r="W73" i="11"/>
  <c r="V73" i="11"/>
  <c r="W72" i="11"/>
  <c r="V72" i="11"/>
  <c r="W71" i="11"/>
  <c r="V71" i="11"/>
  <c r="W70" i="11"/>
  <c r="V70" i="11"/>
  <c r="W69" i="11"/>
  <c r="V69" i="11"/>
  <c r="W68" i="11"/>
  <c r="V68" i="11"/>
  <c r="W67" i="11"/>
  <c r="V67" i="11"/>
  <c r="W66" i="11"/>
  <c r="V66" i="11"/>
  <c r="W65" i="11"/>
  <c r="V65" i="11"/>
  <c r="W64" i="11"/>
  <c r="V64" i="11"/>
  <c r="W63" i="11"/>
  <c r="V63" i="11"/>
  <c r="W62" i="11"/>
  <c r="V62" i="11"/>
  <c r="W61" i="11"/>
  <c r="V61" i="11"/>
  <c r="W60" i="11"/>
  <c r="V60" i="11"/>
  <c r="W59" i="11"/>
  <c r="V59" i="11"/>
  <c r="W58" i="11"/>
  <c r="V58" i="11"/>
  <c r="W57" i="11"/>
  <c r="V57" i="11"/>
  <c r="W56" i="11"/>
  <c r="V56" i="11"/>
  <c r="W55" i="11"/>
  <c r="V55" i="11"/>
  <c r="W54" i="11"/>
  <c r="V54" i="11"/>
  <c r="W53" i="11"/>
  <c r="V53" i="11"/>
  <c r="W52" i="11"/>
  <c r="V52" i="11"/>
  <c r="W51" i="11"/>
  <c r="V51" i="11"/>
  <c r="W50" i="11"/>
  <c r="V50" i="11"/>
  <c r="W49" i="11"/>
  <c r="V49" i="11"/>
  <c r="W48" i="11"/>
  <c r="V48" i="11"/>
  <c r="W47" i="11"/>
  <c r="V47" i="11"/>
  <c r="W46" i="11"/>
  <c r="V46" i="11"/>
  <c r="W45" i="11"/>
  <c r="V45" i="11"/>
  <c r="W44" i="11"/>
  <c r="V44" i="11"/>
  <c r="W43" i="11"/>
  <c r="V43" i="11"/>
  <c r="W42" i="11"/>
  <c r="V42" i="11"/>
  <c r="W41" i="11"/>
  <c r="V41" i="11"/>
  <c r="W40" i="11"/>
  <c r="V40" i="11"/>
  <c r="W39" i="11"/>
  <c r="V39" i="11"/>
  <c r="W38" i="11"/>
  <c r="V38" i="11"/>
  <c r="W37" i="11"/>
  <c r="V37" i="11"/>
  <c r="W36" i="11"/>
  <c r="V36" i="11"/>
  <c r="W35" i="11"/>
  <c r="V35" i="11"/>
  <c r="W34" i="11"/>
  <c r="V34" i="11"/>
  <c r="W33" i="11"/>
  <c r="V33" i="11"/>
  <c r="W32" i="11"/>
  <c r="V32" i="11"/>
  <c r="W31" i="11"/>
  <c r="V31" i="11"/>
  <c r="W30" i="11"/>
  <c r="V30" i="11"/>
  <c r="W29" i="11"/>
  <c r="V29" i="11"/>
  <c r="W28" i="11"/>
  <c r="V28" i="11"/>
  <c r="W27" i="11"/>
  <c r="V27" i="11"/>
  <c r="W26" i="11"/>
  <c r="V26" i="11"/>
  <c r="W25" i="11"/>
  <c r="V25" i="11"/>
  <c r="W24" i="11"/>
  <c r="V24" i="11"/>
  <c r="W23" i="11"/>
  <c r="V23" i="11"/>
  <c r="W22" i="11"/>
  <c r="V22" i="11"/>
  <c r="W21" i="11"/>
  <c r="V21" i="11"/>
  <c r="W20" i="11"/>
  <c r="V20" i="11"/>
  <c r="W19" i="11"/>
  <c r="V19" i="11"/>
  <c r="W18" i="11"/>
  <c r="V18" i="11"/>
  <c r="W17" i="11"/>
  <c r="V17" i="11"/>
  <c r="W16" i="11"/>
  <c r="V16" i="11"/>
  <c r="W15" i="11"/>
  <c r="V15" i="11"/>
  <c r="W14" i="11"/>
  <c r="V14" i="11"/>
  <c r="W13" i="11"/>
  <c r="V13" i="11"/>
  <c r="W12" i="11"/>
  <c r="V12" i="11"/>
  <c r="W11" i="11"/>
  <c r="V11" i="11"/>
  <c r="W10" i="11"/>
  <c r="V10" i="11"/>
  <c r="W9" i="11"/>
  <c r="V9" i="11"/>
  <c r="W8" i="11"/>
  <c r="V8" i="11"/>
  <c r="W7" i="11"/>
  <c r="V7" i="11"/>
  <c r="W6" i="11"/>
  <c r="V6" i="11"/>
  <c r="W5" i="11"/>
  <c r="V5" i="11"/>
  <c r="W4" i="11"/>
  <c r="V4" i="11"/>
  <c r="W3" i="11"/>
  <c r="V3" i="11"/>
  <c r="W2" i="11"/>
  <c r="V2" i="11"/>
  <c r="W216" i="10"/>
  <c r="V216" i="10"/>
  <c r="W215" i="10"/>
  <c r="V215" i="10"/>
  <c r="W214" i="10"/>
  <c r="V214" i="10"/>
  <c r="W213" i="10"/>
  <c r="V213" i="10"/>
  <c r="W212" i="10"/>
  <c r="V212" i="10"/>
  <c r="W211" i="10"/>
  <c r="V211" i="10"/>
  <c r="W210" i="10"/>
  <c r="V210" i="10"/>
  <c r="W209" i="10"/>
  <c r="V209" i="10"/>
  <c r="W208" i="10"/>
  <c r="V208" i="10"/>
  <c r="W207" i="10"/>
  <c r="V207" i="10"/>
  <c r="W206" i="10"/>
  <c r="V206" i="10"/>
  <c r="W205" i="10"/>
  <c r="V205" i="10"/>
  <c r="W204" i="10"/>
  <c r="V204" i="10"/>
  <c r="W203" i="10"/>
  <c r="V203" i="10"/>
  <c r="W202" i="10"/>
  <c r="V202" i="10"/>
  <c r="W201" i="10"/>
  <c r="V201" i="10"/>
  <c r="W200" i="10"/>
  <c r="V200" i="10"/>
  <c r="W199" i="10"/>
  <c r="V199" i="10"/>
  <c r="W198" i="10"/>
  <c r="V198" i="10"/>
  <c r="W197" i="10"/>
  <c r="V197" i="10"/>
  <c r="W196" i="10"/>
  <c r="V196" i="10"/>
  <c r="W195" i="10"/>
  <c r="V195" i="10"/>
  <c r="W194" i="10"/>
  <c r="V194" i="10"/>
  <c r="W193" i="10"/>
  <c r="V193" i="10"/>
  <c r="W192" i="10"/>
  <c r="V192" i="10"/>
  <c r="W191" i="10"/>
  <c r="V191" i="10"/>
  <c r="W190" i="10"/>
  <c r="V190" i="10"/>
  <c r="W189" i="10"/>
  <c r="V189" i="10"/>
  <c r="W188" i="10"/>
  <c r="V188" i="10"/>
  <c r="W187" i="10"/>
  <c r="V187" i="10"/>
  <c r="W186" i="10"/>
  <c r="V186" i="10"/>
  <c r="W185" i="10"/>
  <c r="V185" i="10"/>
  <c r="W184" i="10"/>
  <c r="V184" i="10"/>
  <c r="W183" i="10"/>
  <c r="V183" i="10"/>
  <c r="W182" i="10"/>
  <c r="V182" i="10"/>
  <c r="W181" i="10"/>
  <c r="V181" i="10"/>
  <c r="W180" i="10"/>
  <c r="V180" i="10"/>
  <c r="W179" i="10"/>
  <c r="V179" i="10"/>
  <c r="W178" i="10"/>
  <c r="V178" i="10"/>
  <c r="W177" i="10"/>
  <c r="V177" i="10"/>
  <c r="W176" i="10"/>
  <c r="V176" i="10"/>
  <c r="W175" i="10"/>
  <c r="V175" i="10"/>
  <c r="W174" i="10"/>
  <c r="V174" i="10"/>
  <c r="W173" i="10"/>
  <c r="V173" i="10"/>
  <c r="W172" i="10"/>
  <c r="V172" i="10"/>
  <c r="W171" i="10"/>
  <c r="V171" i="10"/>
  <c r="W170" i="10"/>
  <c r="V170" i="10"/>
  <c r="W169" i="10"/>
  <c r="V169" i="10"/>
  <c r="W168" i="10"/>
  <c r="V168" i="10"/>
  <c r="W167" i="10"/>
  <c r="V167" i="10"/>
  <c r="W166" i="10"/>
  <c r="V166" i="10"/>
  <c r="W165" i="10"/>
  <c r="V165" i="10"/>
  <c r="W164" i="10"/>
  <c r="V164" i="10"/>
  <c r="W163" i="10"/>
  <c r="V163" i="10"/>
  <c r="W162" i="10"/>
  <c r="V162" i="10"/>
  <c r="W161" i="10"/>
  <c r="V161" i="10"/>
  <c r="W160" i="10"/>
  <c r="V160" i="10"/>
  <c r="W159" i="10"/>
  <c r="V159" i="10"/>
  <c r="W158" i="10"/>
  <c r="V158" i="10"/>
  <c r="W157" i="10"/>
  <c r="V157" i="10"/>
  <c r="W156" i="10"/>
  <c r="V156" i="10"/>
  <c r="W155" i="10"/>
  <c r="V155" i="10"/>
  <c r="W154" i="10"/>
  <c r="V154" i="10"/>
  <c r="W153" i="10"/>
  <c r="V153" i="10"/>
  <c r="W152" i="10"/>
  <c r="V152" i="10"/>
  <c r="W151" i="10"/>
  <c r="V151" i="10"/>
  <c r="W150" i="10"/>
  <c r="V150" i="10"/>
  <c r="W149" i="10"/>
  <c r="V149" i="10"/>
  <c r="W148" i="10"/>
  <c r="V148" i="10"/>
  <c r="W147" i="10"/>
  <c r="V147" i="10"/>
  <c r="W146" i="10"/>
  <c r="V146" i="10"/>
  <c r="W145" i="10"/>
  <c r="V145" i="10"/>
  <c r="W144" i="10"/>
  <c r="V144" i="10"/>
  <c r="W143" i="10"/>
  <c r="V143" i="10"/>
  <c r="W142" i="10"/>
  <c r="V142" i="10"/>
  <c r="W141" i="10"/>
  <c r="V141" i="10"/>
  <c r="W140" i="10"/>
  <c r="V140" i="10"/>
  <c r="W139" i="10"/>
  <c r="V139" i="10"/>
  <c r="W138" i="10"/>
  <c r="V138" i="10"/>
  <c r="W137" i="10"/>
  <c r="V137" i="10"/>
  <c r="W136" i="10"/>
  <c r="V136" i="10"/>
  <c r="W135" i="10"/>
  <c r="V135" i="10"/>
  <c r="W134" i="10"/>
  <c r="V134" i="10"/>
  <c r="W133" i="10"/>
  <c r="V133" i="10"/>
  <c r="W132" i="10"/>
  <c r="V132" i="10"/>
  <c r="W131" i="10"/>
  <c r="V131" i="10"/>
  <c r="W130" i="10"/>
  <c r="V130" i="10"/>
  <c r="W129" i="10"/>
  <c r="V129" i="10"/>
  <c r="W128" i="10"/>
  <c r="V128" i="10"/>
  <c r="W127" i="10"/>
  <c r="V127" i="10"/>
  <c r="W126" i="10"/>
  <c r="V126" i="10"/>
  <c r="W125" i="10"/>
  <c r="V125" i="10"/>
  <c r="W124" i="10"/>
  <c r="V124" i="10"/>
  <c r="W123" i="10"/>
  <c r="V123" i="10"/>
  <c r="W122" i="10"/>
  <c r="V122" i="10"/>
  <c r="W121" i="10"/>
  <c r="V121" i="10"/>
  <c r="W120" i="10"/>
  <c r="V120" i="10"/>
  <c r="W119" i="10"/>
  <c r="V119" i="10"/>
  <c r="W118" i="10"/>
  <c r="V118" i="10"/>
  <c r="W117" i="10"/>
  <c r="V117" i="10"/>
  <c r="W116" i="10"/>
  <c r="V116" i="10"/>
  <c r="W115" i="10"/>
  <c r="V115" i="10"/>
  <c r="W114" i="10"/>
  <c r="V114" i="10"/>
  <c r="W113" i="10"/>
  <c r="V113" i="10"/>
  <c r="W112" i="10"/>
  <c r="V112" i="10"/>
  <c r="W111" i="10"/>
  <c r="V111" i="10"/>
  <c r="W110" i="10"/>
  <c r="V110" i="10"/>
  <c r="W109" i="10"/>
  <c r="V109" i="10"/>
  <c r="W108" i="10"/>
  <c r="V108" i="10"/>
  <c r="W107" i="10"/>
  <c r="V107" i="10"/>
  <c r="W106" i="10"/>
  <c r="V106" i="10"/>
  <c r="W105" i="10"/>
  <c r="V105" i="10"/>
  <c r="W104" i="10"/>
  <c r="V104" i="10"/>
  <c r="W103" i="10"/>
  <c r="V103" i="10"/>
  <c r="W102" i="10"/>
  <c r="V102" i="10"/>
  <c r="W101" i="10"/>
  <c r="V101" i="10"/>
  <c r="W100" i="10"/>
  <c r="V100" i="10"/>
  <c r="W99" i="10"/>
  <c r="V99" i="10"/>
  <c r="W98" i="10"/>
  <c r="V98" i="10"/>
  <c r="W97" i="10"/>
  <c r="V97" i="10"/>
  <c r="W96" i="10"/>
  <c r="V96" i="10"/>
  <c r="W95" i="10"/>
  <c r="V95" i="10"/>
  <c r="W94" i="10"/>
  <c r="V94" i="10"/>
  <c r="W93" i="10"/>
  <c r="V93" i="10"/>
  <c r="W92" i="10"/>
  <c r="V92" i="10"/>
  <c r="W91" i="10"/>
  <c r="V91" i="10"/>
  <c r="W90" i="10"/>
  <c r="V90" i="10"/>
  <c r="W89" i="10"/>
  <c r="V89" i="10"/>
  <c r="W88" i="10"/>
  <c r="V88" i="10"/>
  <c r="W87" i="10"/>
  <c r="V87" i="10"/>
  <c r="W86" i="10"/>
  <c r="V86" i="10"/>
  <c r="W85" i="10"/>
  <c r="V85" i="10"/>
  <c r="W84" i="10"/>
  <c r="V84" i="10"/>
  <c r="W83" i="10"/>
  <c r="V83" i="10"/>
  <c r="W82" i="10"/>
  <c r="V82" i="10"/>
  <c r="W81" i="10"/>
  <c r="V81" i="10"/>
  <c r="W80" i="10"/>
  <c r="V80" i="10"/>
  <c r="W79" i="10"/>
  <c r="V79" i="10"/>
  <c r="W78" i="10"/>
  <c r="V78" i="10"/>
  <c r="W77" i="10"/>
  <c r="V77" i="10"/>
  <c r="W76" i="10"/>
  <c r="V76" i="10"/>
  <c r="W75" i="10"/>
  <c r="V75" i="10"/>
  <c r="W74" i="10"/>
  <c r="V74" i="10"/>
  <c r="W73" i="10"/>
  <c r="V73" i="10"/>
  <c r="W72" i="10"/>
  <c r="V72" i="10"/>
  <c r="W71" i="10"/>
  <c r="V71" i="10"/>
  <c r="W70" i="10"/>
  <c r="V70" i="10"/>
  <c r="W69" i="10"/>
  <c r="V69" i="10"/>
  <c r="W68" i="10"/>
  <c r="V68" i="10"/>
  <c r="W67" i="10"/>
  <c r="V67" i="10"/>
  <c r="W66" i="10"/>
  <c r="V66" i="10"/>
  <c r="W65" i="10"/>
  <c r="V65" i="10"/>
  <c r="W64" i="10"/>
  <c r="V64" i="10"/>
  <c r="W63" i="10"/>
  <c r="V63" i="10"/>
  <c r="W62" i="10"/>
  <c r="V62" i="10"/>
  <c r="W61" i="10"/>
  <c r="V61" i="10"/>
  <c r="W60" i="10"/>
  <c r="V60" i="10"/>
  <c r="W59" i="10"/>
  <c r="V59" i="10"/>
  <c r="W58" i="10"/>
  <c r="V58" i="10"/>
  <c r="W57" i="10"/>
  <c r="V57" i="10"/>
  <c r="W56" i="10"/>
  <c r="V56" i="10"/>
  <c r="W55" i="10"/>
  <c r="V55" i="10"/>
  <c r="W54" i="10"/>
  <c r="V54" i="10"/>
  <c r="W53" i="10"/>
  <c r="V53" i="10"/>
  <c r="W52" i="10"/>
  <c r="V52" i="10"/>
  <c r="W51" i="10"/>
  <c r="V51" i="10"/>
  <c r="W50" i="10"/>
  <c r="V50" i="10"/>
  <c r="W49" i="10"/>
  <c r="V49" i="10"/>
  <c r="W48" i="10"/>
  <c r="V48" i="10"/>
  <c r="W47" i="10"/>
  <c r="V47" i="10"/>
  <c r="W46" i="10"/>
  <c r="V46" i="10"/>
  <c r="W45" i="10"/>
  <c r="V45" i="10"/>
  <c r="W44" i="10"/>
  <c r="V44" i="10"/>
  <c r="W43" i="10"/>
  <c r="V43" i="10"/>
  <c r="W42" i="10"/>
  <c r="V42" i="10"/>
  <c r="W41" i="10"/>
  <c r="V41" i="10"/>
  <c r="W40" i="10"/>
  <c r="V40" i="10"/>
  <c r="W39" i="10"/>
  <c r="V39" i="10"/>
  <c r="W38" i="10"/>
  <c r="V38" i="10"/>
  <c r="W37" i="10"/>
  <c r="V37" i="10"/>
  <c r="W36" i="10"/>
  <c r="V36" i="10"/>
  <c r="W35" i="10"/>
  <c r="V35" i="10"/>
  <c r="W34" i="10"/>
  <c r="V34" i="10"/>
  <c r="W33" i="10"/>
  <c r="V33" i="10"/>
  <c r="W32" i="10"/>
  <c r="V32" i="10"/>
  <c r="W31" i="10"/>
  <c r="V31" i="10"/>
  <c r="W30" i="10"/>
  <c r="V30" i="10"/>
  <c r="W29" i="10"/>
  <c r="V29" i="10"/>
  <c r="W28" i="10"/>
  <c r="V28" i="10"/>
  <c r="W27" i="10"/>
  <c r="V27" i="10"/>
  <c r="W26" i="10"/>
  <c r="V26" i="10"/>
  <c r="W25" i="10"/>
  <c r="V25" i="10"/>
  <c r="W24" i="10"/>
  <c r="V24" i="10"/>
  <c r="W23" i="10"/>
  <c r="V23" i="10"/>
  <c r="W22" i="10"/>
  <c r="V22" i="10"/>
  <c r="W21" i="10"/>
  <c r="V21" i="10"/>
  <c r="W20" i="10"/>
  <c r="V20" i="10"/>
  <c r="W19" i="10"/>
  <c r="V19" i="10"/>
  <c r="W18" i="10"/>
  <c r="V18" i="10"/>
  <c r="W17" i="10"/>
  <c r="V17" i="10"/>
  <c r="W16" i="10"/>
  <c r="V16" i="10"/>
  <c r="W15" i="10"/>
  <c r="V15" i="10"/>
  <c r="W14" i="10"/>
  <c r="V14" i="10"/>
  <c r="W13" i="10"/>
  <c r="V13" i="10"/>
  <c r="W12" i="10"/>
  <c r="V12" i="10"/>
  <c r="W11" i="10"/>
  <c r="V11" i="10"/>
  <c r="W10" i="10"/>
  <c r="V10" i="10"/>
  <c r="W9" i="10"/>
  <c r="V9" i="10"/>
  <c r="W8" i="10"/>
  <c r="V8" i="10"/>
  <c r="W7" i="10"/>
  <c r="V7" i="10"/>
  <c r="W6" i="10"/>
  <c r="V6" i="10"/>
  <c r="W5" i="10"/>
  <c r="V5" i="10"/>
  <c r="W4" i="10"/>
  <c r="V4" i="10"/>
  <c r="W3" i="10"/>
  <c r="V3" i="10"/>
  <c r="W2" i="10"/>
  <c r="V2" i="10"/>
  <c r="W216" i="9"/>
  <c r="V216" i="9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W168" i="9"/>
  <c r="V168" i="9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W159" i="9"/>
  <c r="V159" i="9"/>
  <c r="W158" i="9"/>
  <c r="V158" i="9"/>
  <c r="W157" i="9"/>
  <c r="V157" i="9"/>
  <c r="W156" i="9"/>
  <c r="V156" i="9"/>
  <c r="W155" i="9"/>
  <c r="V155" i="9"/>
  <c r="W154" i="9"/>
  <c r="V154" i="9"/>
  <c r="W153" i="9"/>
  <c r="V153" i="9"/>
  <c r="W152" i="9"/>
  <c r="V152" i="9"/>
  <c r="W151" i="9"/>
  <c r="V151" i="9"/>
  <c r="W150" i="9"/>
  <c r="V150" i="9"/>
  <c r="W149" i="9"/>
  <c r="V149" i="9"/>
  <c r="W148" i="9"/>
  <c r="V148" i="9"/>
  <c r="W147" i="9"/>
  <c r="V147" i="9"/>
  <c r="W146" i="9"/>
  <c r="V146" i="9"/>
  <c r="W145" i="9"/>
  <c r="V145" i="9"/>
  <c r="W144" i="9"/>
  <c r="V144" i="9"/>
  <c r="W143" i="9"/>
  <c r="V143" i="9"/>
  <c r="W142" i="9"/>
  <c r="V142" i="9"/>
  <c r="W141" i="9"/>
  <c r="V141" i="9"/>
  <c r="W140" i="9"/>
  <c r="V140" i="9"/>
  <c r="W139" i="9"/>
  <c r="V139" i="9"/>
  <c r="W138" i="9"/>
  <c r="V138" i="9"/>
  <c r="W137" i="9"/>
  <c r="V137" i="9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W119" i="9"/>
  <c r="V119" i="9"/>
  <c r="W118" i="9"/>
  <c r="V118" i="9"/>
  <c r="W117" i="9"/>
  <c r="V117" i="9"/>
  <c r="W116" i="9"/>
  <c r="V116" i="9"/>
  <c r="W115" i="9"/>
  <c r="V115" i="9"/>
  <c r="W114" i="9"/>
  <c r="V114" i="9"/>
  <c r="W113" i="9"/>
  <c r="V113" i="9"/>
  <c r="W112" i="9"/>
  <c r="V112" i="9"/>
  <c r="W111" i="9"/>
  <c r="V111" i="9"/>
  <c r="W110" i="9"/>
  <c r="V110" i="9"/>
  <c r="W109" i="9"/>
  <c r="V109" i="9"/>
  <c r="W108" i="9"/>
  <c r="V108" i="9"/>
  <c r="W107" i="9"/>
  <c r="V107" i="9"/>
  <c r="W106" i="9"/>
  <c r="V106" i="9"/>
  <c r="W105" i="9"/>
  <c r="V105" i="9"/>
  <c r="W104" i="9"/>
  <c r="V104" i="9"/>
  <c r="W103" i="9"/>
  <c r="V103" i="9"/>
  <c r="W102" i="9"/>
  <c r="V102" i="9"/>
  <c r="W101" i="9"/>
  <c r="V101" i="9"/>
  <c r="W100" i="9"/>
  <c r="V100" i="9"/>
  <c r="W99" i="9"/>
  <c r="V99" i="9"/>
  <c r="W98" i="9"/>
  <c r="V98" i="9"/>
  <c r="W97" i="9"/>
  <c r="V97" i="9"/>
  <c r="W96" i="9"/>
  <c r="V96" i="9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W87" i="9"/>
  <c r="V87" i="9"/>
  <c r="W86" i="9"/>
  <c r="V86" i="9"/>
  <c r="W85" i="9"/>
  <c r="V85" i="9"/>
  <c r="W84" i="9"/>
  <c r="V84" i="9"/>
  <c r="W83" i="9"/>
  <c r="V83" i="9"/>
  <c r="W82" i="9"/>
  <c r="V82" i="9"/>
  <c r="W81" i="9"/>
  <c r="V81" i="9"/>
  <c r="W80" i="9"/>
  <c r="V80" i="9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W71" i="9"/>
  <c r="V71" i="9"/>
  <c r="W70" i="9"/>
  <c r="V70" i="9"/>
  <c r="W69" i="9"/>
  <c r="V69" i="9"/>
  <c r="W68" i="9"/>
  <c r="V68" i="9"/>
  <c r="W67" i="9"/>
  <c r="V67" i="9"/>
  <c r="W66" i="9"/>
  <c r="V66" i="9"/>
  <c r="W65" i="9"/>
  <c r="V65" i="9"/>
  <c r="W64" i="9"/>
  <c r="V64" i="9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W55" i="9"/>
  <c r="V55" i="9"/>
  <c r="W54" i="9"/>
  <c r="V54" i="9"/>
  <c r="W53" i="9"/>
  <c r="V53" i="9"/>
  <c r="W52" i="9"/>
  <c r="V52" i="9"/>
  <c r="W51" i="9"/>
  <c r="V51" i="9"/>
  <c r="W50" i="9"/>
  <c r="V50" i="9"/>
  <c r="W49" i="9"/>
  <c r="V49" i="9"/>
  <c r="W48" i="9"/>
  <c r="V48" i="9"/>
  <c r="W47" i="9"/>
  <c r="V47" i="9"/>
  <c r="W46" i="9"/>
  <c r="V46" i="9"/>
  <c r="W45" i="9"/>
  <c r="V45" i="9"/>
  <c r="W44" i="9"/>
  <c r="V44" i="9"/>
  <c r="W43" i="9"/>
  <c r="V43" i="9"/>
  <c r="W42" i="9"/>
  <c r="V42" i="9"/>
  <c r="W41" i="9"/>
  <c r="V41" i="9"/>
  <c r="W40" i="9"/>
  <c r="V40" i="9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V25" i="9"/>
  <c r="W24" i="9"/>
  <c r="V24" i="9"/>
  <c r="W23" i="9"/>
  <c r="V23" i="9"/>
  <c r="W22" i="9"/>
  <c r="V22" i="9"/>
  <c r="W21" i="9"/>
  <c r="V21" i="9"/>
  <c r="W20" i="9"/>
  <c r="V20" i="9"/>
  <c r="W19" i="9"/>
  <c r="V19" i="9"/>
  <c r="W18" i="9"/>
  <c r="V18" i="9"/>
  <c r="W17" i="9"/>
  <c r="V17" i="9"/>
  <c r="W16" i="9"/>
  <c r="V16" i="9"/>
  <c r="W15" i="9"/>
  <c r="V15" i="9"/>
  <c r="W14" i="9"/>
  <c r="V14" i="9"/>
  <c r="W13" i="9"/>
  <c r="V13" i="9"/>
  <c r="W12" i="9"/>
  <c r="V12" i="9"/>
  <c r="W11" i="9"/>
  <c r="V11" i="9"/>
  <c r="W10" i="9"/>
  <c r="V10" i="9"/>
  <c r="W9" i="9"/>
  <c r="V9" i="9"/>
  <c r="W8" i="9"/>
  <c r="V8" i="9"/>
  <c r="W7" i="9"/>
  <c r="V7" i="9"/>
  <c r="W6" i="9"/>
  <c r="V6" i="9"/>
  <c r="W5" i="9"/>
  <c r="V5" i="9"/>
  <c r="W4" i="9"/>
  <c r="V4" i="9"/>
  <c r="W3" i="9"/>
  <c r="V3" i="9"/>
  <c r="W2" i="9"/>
  <c r="V2" i="9"/>
  <c r="W56" i="2"/>
  <c r="W94" i="2"/>
  <c r="W17" i="2"/>
  <c r="W95" i="2"/>
  <c r="W33" i="2"/>
  <c r="W18" i="2"/>
  <c r="W160" i="2"/>
  <c r="W19" i="2"/>
  <c r="W34" i="2"/>
  <c r="W35" i="2"/>
  <c r="W86" i="2"/>
  <c r="W57" i="2"/>
  <c r="W144" i="2"/>
  <c r="W24" i="2"/>
  <c r="W87" i="2"/>
  <c r="W183" i="2"/>
  <c r="W25" i="2"/>
  <c r="W161" i="2"/>
  <c r="W50" i="2"/>
  <c r="W70" i="2"/>
  <c r="W162" i="2"/>
  <c r="W21" i="2"/>
  <c r="W22" i="2"/>
  <c r="W88" i="2"/>
  <c r="W181" i="2"/>
  <c r="W163" i="2"/>
  <c r="W23" i="2"/>
  <c r="W206" i="2"/>
  <c r="W78" i="2"/>
  <c r="W51" i="2"/>
  <c r="W89" i="2"/>
  <c r="W79" i="2"/>
  <c r="W164" i="2"/>
  <c r="W90" i="2"/>
  <c r="W80" i="2"/>
  <c r="W207" i="2"/>
  <c r="W114" i="2"/>
  <c r="W71" i="2"/>
  <c r="W122" i="2"/>
  <c r="W72" i="2"/>
  <c r="W91" i="2"/>
  <c r="W170" i="2"/>
  <c r="W115" i="2"/>
  <c r="W36" i="2"/>
  <c r="W123" i="2"/>
  <c r="W107" i="2"/>
  <c r="W73" i="2"/>
  <c r="W74" i="2"/>
  <c r="W182" i="2"/>
  <c r="W77" i="2"/>
  <c r="W20" i="2"/>
  <c r="W66" i="2"/>
  <c r="W92" i="2"/>
  <c r="W93" i="2"/>
  <c r="W108" i="2"/>
  <c r="W178" i="2"/>
  <c r="W179" i="2"/>
  <c r="W60" i="2"/>
  <c r="W58" i="2"/>
  <c r="W61" i="2"/>
  <c r="W202" i="2"/>
  <c r="W214" i="2"/>
  <c r="W180" i="2"/>
  <c r="W27" i="2"/>
  <c r="W118" i="2"/>
  <c r="W209" i="2"/>
  <c r="W210" i="2"/>
  <c r="W28" i="2"/>
  <c r="W138" i="2"/>
  <c r="W140" i="2"/>
  <c r="W141" i="2"/>
  <c r="W67" i="2"/>
  <c r="W146" i="2"/>
  <c r="W142" i="2"/>
  <c r="W208" i="2"/>
  <c r="W185" i="2"/>
  <c r="W63" i="2"/>
  <c r="W6" i="2"/>
  <c r="W143" i="2"/>
  <c r="W211" i="2"/>
  <c r="W29" i="2"/>
  <c r="W97" i="2"/>
  <c r="W147" i="2"/>
  <c r="W139" i="2"/>
  <c r="W109" i="2"/>
  <c r="W110" i="2"/>
  <c r="W98" i="2"/>
  <c r="W26" i="2"/>
  <c r="W40" i="2"/>
  <c r="W201" i="2"/>
  <c r="W81" i="2"/>
  <c r="W116" i="2"/>
  <c r="W112" i="2"/>
  <c r="W82" i="2"/>
  <c r="W52" i="2"/>
  <c r="W99" i="2"/>
  <c r="W2" i="2"/>
  <c r="W151" i="2"/>
  <c r="W41" i="2"/>
  <c r="W117" i="2"/>
  <c r="W42" i="2"/>
  <c r="W167" i="2"/>
  <c r="W100" i="2"/>
  <c r="W150" i="2"/>
  <c r="W152" i="2"/>
  <c r="W153" i="2"/>
  <c r="W59" i="2"/>
  <c r="W15" i="2"/>
  <c r="W37" i="2"/>
  <c r="W204" i="2"/>
  <c r="W168" i="2"/>
  <c r="W120" i="2"/>
  <c r="W188" i="2"/>
  <c r="W187" i="2"/>
  <c r="W14" i="2"/>
  <c r="W121" i="2"/>
  <c r="W189" i="2"/>
  <c r="W96" i="2"/>
  <c r="W145" i="2"/>
  <c r="W203" i="2"/>
  <c r="W62" i="2"/>
  <c r="W186" i="2"/>
  <c r="W184" i="2"/>
  <c r="W124" i="2"/>
  <c r="W125" i="2"/>
  <c r="W7" i="2"/>
  <c r="W171" i="2"/>
  <c r="W148" i="2"/>
  <c r="W126" i="2"/>
  <c r="W111" i="2"/>
  <c r="W149" i="2"/>
  <c r="W101" i="2"/>
  <c r="W38" i="2"/>
  <c r="W177" i="2"/>
  <c r="W39" i="2"/>
  <c r="W49" i="2"/>
  <c r="W165" i="2"/>
  <c r="W103" i="2"/>
  <c r="W172" i="2"/>
  <c r="W9" i="2"/>
  <c r="W155" i="2"/>
  <c r="W104" i="2"/>
  <c r="W156" i="2"/>
  <c r="W173" i="2"/>
  <c r="W157" i="2"/>
  <c r="W45" i="2"/>
  <c r="W169" i="2"/>
  <c r="W215" i="2"/>
  <c r="W75" i="2"/>
  <c r="W10" i="2"/>
  <c r="W119" i="2"/>
  <c r="W174" i="2"/>
  <c r="W197" i="2"/>
  <c r="W54" i="2"/>
  <c r="W154" i="2"/>
  <c r="W76" i="2"/>
  <c r="W8" i="2"/>
  <c r="W216" i="2"/>
  <c r="W198" i="2"/>
  <c r="W65" i="2"/>
  <c r="W55" i="2"/>
  <c r="W166" i="2"/>
  <c r="W11" i="2"/>
  <c r="W105" i="2"/>
  <c r="W175" i="2"/>
  <c r="W5" i="2"/>
  <c r="W83" i="2"/>
  <c r="W176" i="2"/>
  <c r="W53" i="2"/>
  <c r="W127" i="2"/>
  <c r="W84" i="2"/>
  <c r="W106" i="2"/>
  <c r="W12" i="2"/>
  <c r="W102" i="2"/>
  <c r="W43" i="2"/>
  <c r="W30" i="2"/>
  <c r="W212" i="2"/>
  <c r="W113" i="2"/>
  <c r="W68" i="2"/>
  <c r="W134" i="2"/>
  <c r="W213" i="2"/>
  <c r="W31" i="2"/>
  <c r="W44" i="2"/>
  <c r="W136" i="2"/>
  <c r="W69" i="2"/>
  <c r="W199" i="2"/>
  <c r="W137" i="2"/>
  <c r="W4" i="2"/>
  <c r="W205" i="2"/>
  <c r="W194" i="2"/>
  <c r="W130" i="2"/>
  <c r="W13" i="2"/>
  <c r="W46" i="2"/>
  <c r="W47" i="2"/>
  <c r="W200" i="2"/>
  <c r="W190" i="2"/>
  <c r="W48" i="2"/>
  <c r="W191" i="2"/>
  <c r="W192" i="2"/>
  <c r="W193" i="2"/>
  <c r="W64" i="2"/>
  <c r="W158" i="2"/>
  <c r="W195" i="2"/>
  <c r="W85" i="2"/>
  <c r="W131" i="2"/>
  <c r="W3" i="2"/>
  <c r="W196" i="2"/>
  <c r="W132" i="2"/>
  <c r="W133" i="2"/>
  <c r="W128" i="2"/>
  <c r="W129" i="2"/>
  <c r="W32" i="2"/>
  <c r="W135" i="2"/>
  <c r="W159" i="2"/>
  <c r="V56" i="2"/>
  <c r="V94" i="2"/>
  <c r="V17" i="2"/>
  <c r="V95" i="2"/>
  <c r="V33" i="2"/>
  <c r="V18" i="2"/>
  <c r="V160" i="2"/>
  <c r="V19" i="2"/>
  <c r="V34" i="2"/>
  <c r="V35" i="2"/>
  <c r="V86" i="2"/>
  <c r="V57" i="2"/>
  <c r="V144" i="2"/>
  <c r="V24" i="2"/>
  <c r="V87" i="2"/>
  <c r="V183" i="2"/>
  <c r="V25" i="2"/>
  <c r="V161" i="2"/>
  <c r="V50" i="2"/>
  <c r="V70" i="2"/>
  <c r="V162" i="2"/>
  <c r="V21" i="2"/>
  <c r="V22" i="2"/>
  <c r="V88" i="2"/>
  <c r="V181" i="2"/>
  <c r="V163" i="2"/>
  <c r="V23" i="2"/>
  <c r="V206" i="2"/>
  <c r="V78" i="2"/>
  <c r="V51" i="2"/>
  <c r="V89" i="2"/>
  <c r="V79" i="2"/>
  <c r="V164" i="2"/>
  <c r="V90" i="2"/>
  <c r="V80" i="2"/>
  <c r="V207" i="2"/>
  <c r="V114" i="2"/>
  <c r="V71" i="2"/>
  <c r="V122" i="2"/>
  <c r="V72" i="2"/>
  <c r="V91" i="2"/>
  <c r="V170" i="2"/>
  <c r="V115" i="2"/>
  <c r="V36" i="2"/>
  <c r="V123" i="2"/>
  <c r="V107" i="2"/>
  <c r="V73" i="2"/>
  <c r="V74" i="2"/>
  <c r="V182" i="2"/>
  <c r="V77" i="2"/>
  <c r="V20" i="2"/>
  <c r="V66" i="2"/>
  <c r="V92" i="2"/>
  <c r="V93" i="2"/>
  <c r="V108" i="2"/>
  <c r="V178" i="2"/>
  <c r="V179" i="2"/>
  <c r="V60" i="2"/>
  <c r="V58" i="2"/>
  <c r="V61" i="2"/>
  <c r="V202" i="2"/>
  <c r="V214" i="2"/>
  <c r="V180" i="2"/>
  <c r="V27" i="2"/>
  <c r="V118" i="2"/>
  <c r="V209" i="2"/>
  <c r="V210" i="2"/>
  <c r="V28" i="2"/>
  <c r="V138" i="2"/>
  <c r="V140" i="2"/>
  <c r="V141" i="2"/>
  <c r="V67" i="2"/>
  <c r="V146" i="2"/>
  <c r="V142" i="2"/>
  <c r="V208" i="2"/>
  <c r="V185" i="2"/>
  <c r="V63" i="2"/>
  <c r="V6" i="2"/>
  <c r="V143" i="2"/>
  <c r="V211" i="2"/>
  <c r="V29" i="2"/>
  <c r="V97" i="2"/>
  <c r="V147" i="2"/>
  <c r="V139" i="2"/>
  <c r="V109" i="2"/>
  <c r="V110" i="2"/>
  <c r="V98" i="2"/>
  <c r="V26" i="2"/>
  <c r="V40" i="2"/>
  <c r="V201" i="2"/>
  <c r="V81" i="2"/>
  <c r="V116" i="2"/>
  <c r="V112" i="2"/>
  <c r="V82" i="2"/>
  <c r="V52" i="2"/>
  <c r="V99" i="2"/>
  <c r="V2" i="2"/>
  <c r="V151" i="2"/>
  <c r="V41" i="2"/>
  <c r="V117" i="2"/>
  <c r="V42" i="2"/>
  <c r="V167" i="2"/>
  <c r="V100" i="2"/>
  <c r="V150" i="2"/>
  <c r="V152" i="2"/>
  <c r="V153" i="2"/>
  <c r="V59" i="2"/>
  <c r="V15" i="2"/>
  <c r="V37" i="2"/>
  <c r="V204" i="2"/>
  <c r="V168" i="2"/>
  <c r="V120" i="2"/>
  <c r="V188" i="2"/>
  <c r="V187" i="2"/>
  <c r="V14" i="2"/>
  <c r="V121" i="2"/>
  <c r="V189" i="2"/>
  <c r="V96" i="2"/>
  <c r="V145" i="2"/>
  <c r="V203" i="2"/>
  <c r="V62" i="2"/>
  <c r="V186" i="2"/>
  <c r="V184" i="2"/>
  <c r="V124" i="2"/>
  <c r="V125" i="2"/>
  <c r="V7" i="2"/>
  <c r="V171" i="2"/>
  <c r="V148" i="2"/>
  <c r="V126" i="2"/>
  <c r="V111" i="2"/>
  <c r="V149" i="2"/>
  <c r="V101" i="2"/>
  <c r="V38" i="2"/>
  <c r="V177" i="2"/>
  <c r="V39" i="2"/>
  <c r="V49" i="2"/>
  <c r="V165" i="2"/>
  <c r="V103" i="2"/>
  <c r="V172" i="2"/>
  <c r="V9" i="2"/>
  <c r="V155" i="2"/>
  <c r="V104" i="2"/>
  <c r="V156" i="2"/>
  <c r="V173" i="2"/>
  <c r="V157" i="2"/>
  <c r="V45" i="2"/>
  <c r="V169" i="2"/>
  <c r="V215" i="2"/>
  <c r="V75" i="2"/>
  <c r="V10" i="2"/>
  <c r="V119" i="2"/>
  <c r="V174" i="2"/>
  <c r="V197" i="2"/>
  <c r="V54" i="2"/>
  <c r="V154" i="2"/>
  <c r="V76" i="2"/>
  <c r="V8" i="2"/>
  <c r="V216" i="2"/>
  <c r="V198" i="2"/>
  <c r="V65" i="2"/>
  <c r="V55" i="2"/>
  <c r="V166" i="2"/>
  <c r="V11" i="2"/>
  <c r="V105" i="2"/>
  <c r="V175" i="2"/>
  <c r="V5" i="2"/>
  <c r="V83" i="2"/>
  <c r="V176" i="2"/>
  <c r="V53" i="2"/>
  <c r="V127" i="2"/>
  <c r="V84" i="2"/>
  <c r="V106" i="2"/>
  <c r="V12" i="2"/>
  <c r="V102" i="2"/>
  <c r="V43" i="2"/>
  <c r="V30" i="2"/>
  <c r="V212" i="2"/>
  <c r="V113" i="2"/>
  <c r="V68" i="2"/>
  <c r="V134" i="2"/>
  <c r="V213" i="2"/>
  <c r="V31" i="2"/>
  <c r="V44" i="2"/>
  <c r="V136" i="2"/>
  <c r="V69" i="2"/>
  <c r="V199" i="2"/>
  <c r="V137" i="2"/>
  <c r="V4" i="2"/>
  <c r="V205" i="2"/>
  <c r="V194" i="2"/>
  <c r="V130" i="2"/>
  <c r="V13" i="2"/>
  <c r="V46" i="2"/>
  <c r="V47" i="2"/>
  <c r="V200" i="2"/>
  <c r="V190" i="2"/>
  <c r="V48" i="2"/>
  <c r="V191" i="2"/>
  <c r="V192" i="2"/>
  <c r="V193" i="2"/>
  <c r="V64" i="2"/>
  <c r="V158" i="2"/>
  <c r="V195" i="2"/>
  <c r="V85" i="2"/>
  <c r="V131" i="2"/>
  <c r="V3" i="2"/>
  <c r="V196" i="2"/>
  <c r="V132" i="2"/>
  <c r="V133" i="2"/>
  <c r="V128" i="2"/>
  <c r="V129" i="2"/>
  <c r="V32" i="2"/>
  <c r="V135" i="2"/>
  <c r="V159" i="2"/>
  <c r="W16" i="2"/>
  <c r="V16" i="2"/>
</calcChain>
</file>

<file path=xl/comments1.xml><?xml version="1.0" encoding="utf-8"?>
<comments xmlns="http://schemas.openxmlformats.org/spreadsheetml/2006/main">
  <authors>
    <author>Suenne Dixon</author>
    <author>Karla Nahmmacher</author>
    <author>Olivier Fabris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1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sachiko
no fukuko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A2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</t>
        </r>
      </text>
    </comment>
    <comment ref="B2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C2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10:15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B3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kamal
no mirna
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C3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C4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mesook
no yoon
no henry
no jin</t>
        </r>
      </text>
    </comment>
    <comment ref="A4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5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5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</t>
        </r>
      </text>
    </comment>
    <comment ref="A5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6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A6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6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KAT 1145 10/24 1:30</t>
        </r>
      </text>
    </comment>
    <comment ref="A7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7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A7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7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C7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A7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</t>
        </r>
      </text>
    </comment>
    <comment ref="C7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7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7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3:15 PM</t>
        </r>
      </text>
    </comment>
    <comment ref="B76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7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10/24 8:50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7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10/24 8:50</t>
        </r>
      </text>
    </comment>
    <comment ref="C7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8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8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8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8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B9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B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both</t>
        </r>
      </text>
    </comment>
    <comment ref="C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9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9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B10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messok</t>
        </r>
      </text>
    </comment>
    <comment ref="C11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1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cynthia
no morgan</t>
        </r>
      </text>
    </comment>
    <comment ref="B12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messok</t>
        </r>
      </text>
    </comment>
    <comment ref="B12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13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louise</t>
        </r>
      </text>
    </comment>
    <comment ref="C13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SUENNE EMAIL 10/26 4:10 PM</t>
        </r>
      </text>
    </comment>
    <comment ref="B13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4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C14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10/24 4 pm</t>
        </r>
      </text>
    </comment>
    <comment ref="B151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15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all</t>
        </r>
      </text>
    </comment>
    <comment ref="C15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I16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MIGHT REPORT 15 MINUTE LATE START, PROVIDER MICHELLE AT 6700 APPROVED POSSIBLE LA</t>
        </r>
      </text>
    </comment>
    <comment ref="B161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6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B16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dulce
no laine</t>
        </r>
      </text>
    </comment>
    <comment ref="C16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AMELIA 7330</t>
        </r>
      </text>
    </comment>
    <comment ref="B16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all</t>
        </r>
      </text>
    </comment>
    <comment ref="B16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all</t>
        </r>
      </text>
    </comment>
    <comment ref="C16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KAT CALL 1145 10/26 3:10</t>
        </r>
      </text>
    </comment>
    <comment ref="C16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7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added by RK - Leonor is taking over Ethel's returned appointment. 10/26</t>
        </r>
      </text>
    </comment>
    <comment ref="C175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added per Shu-Hua call, Steven 7500 confirmed 10/26 4:45pm, pt arrived early, interpreter needed only 5-6pm</t>
        </r>
      </text>
    </comment>
    <comment ref="B17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hsau-lee</t>
        </r>
      </text>
    </comment>
    <comment ref="C17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added by RK - Leonor is taking over Ethel's returned appointment. 10/26</t>
        </r>
      </text>
    </comment>
    <comment ref="B179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17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Per Meliza email 10/26 7 pm</t>
        </r>
      </text>
    </comment>
    <comment ref="C18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8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11</t>
        </r>
      </text>
    </comment>
    <comment ref="C18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10/25 4 PM</t>
        </r>
      </text>
    </comment>
    <comment ref="C18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10/18 9:20</t>
        </r>
      </text>
    </comment>
    <comment ref="C185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CLD per transition 10/14/16 at 1500</t>
        </r>
      </text>
    </comment>
    <comment ref="C186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CLD per transition 10/14/16 at 1500</t>
        </r>
      </text>
    </comment>
    <comment ref="B18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cynthia
no morgan</t>
        </r>
      </text>
    </comment>
    <comment ref="C18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18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B18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dulce
no laine</t>
        </r>
      </text>
    </comment>
    <comment ref="C189" authorId="2" shapeId="0">
      <text>
        <r>
          <rPr>
            <b/>
            <sz val="9"/>
            <color indexed="81"/>
            <rFont val="Tahoma"/>
            <family val="2"/>
          </rPr>
          <t>Olivier Fabris:</t>
        </r>
        <r>
          <rPr>
            <sz val="9"/>
            <color indexed="81"/>
            <rFont val="Tahoma"/>
            <family val="2"/>
          </rPr>
          <t xml:space="preserve">
CLD per transition 10/14 5pm</t>
        </r>
      </text>
    </comment>
    <comment ref="C190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CLD per transition 10/14/16 at 1500</t>
        </r>
      </text>
    </comment>
    <comment ref="C19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B19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dulce
no laine</t>
        </r>
      </text>
    </comment>
    <comment ref="C192" authorId="2" shapeId="0">
      <text>
        <r>
          <rPr>
            <b/>
            <sz val="9"/>
            <color indexed="81"/>
            <rFont val="Tahoma"/>
            <family val="2"/>
          </rPr>
          <t>Olivier Fabris:</t>
        </r>
        <r>
          <rPr>
            <sz val="9"/>
            <color indexed="81"/>
            <rFont val="Tahoma"/>
            <family val="2"/>
          </rPr>
          <t xml:space="preserve">
CLD per transition 10/14 5pm</t>
        </r>
      </text>
    </comment>
    <comment ref="C19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C1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returned by Ethel on 10/26 via text and call - RK</t>
        </r>
      </text>
    </comment>
    <comment ref="B1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hsau-lee</t>
        </r>
      </text>
    </comment>
    <comment ref="C1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INT EMAIL, FAMILYU EMERGENCY 10/21 2:30</t>
        </r>
      </text>
    </comment>
    <comment ref="C19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returned by Ethel on 10/26 via text and call - RK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B20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carmen
no maria
no lucille</t>
        </r>
      </text>
    </comment>
    <comment ref="C21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13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1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1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1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LAINE
NO ulyses
no dulce
NO MICHAEL</t>
        </r>
      </text>
    </comment>
    <comment ref="C21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</t>
        </r>
      </text>
    </comment>
    <comment ref="C22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2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2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khampha</t>
        </r>
      </text>
    </comment>
    <comment ref="C22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2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3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3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khampha</t>
        </r>
      </text>
    </comment>
    <comment ref="C23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3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I243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2:40 per old master
12:40 per new master
(probably not human error)</t>
        </r>
      </text>
    </comment>
    <comment ref="C24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4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46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5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60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6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B262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Luptia NO</t>
        </r>
      </text>
    </comment>
    <comment ref="C27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12 pm</t>
        </r>
      </text>
    </comment>
    <comment ref="C27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 PM</t>
        </r>
      </text>
    </comment>
    <comment ref="C27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11:35</t>
        </r>
      </text>
    </comment>
    <comment ref="C28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11:35</t>
        </r>
      </text>
    </comment>
    <comment ref="C28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 PM</t>
        </r>
      </text>
    </comment>
    <comment ref="C28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DNC, send partially to evelyn, to late to cancel camen 10/26 11 am</t>
        </r>
      </text>
    </comment>
    <comment ref="C28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C28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B28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no hanna
no irina</t>
        </r>
      </text>
    </comment>
    <comment ref="C28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INT TEXT 10/21 12:30 PM</t>
        </r>
      </text>
    </comment>
    <comment ref="C286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10/18 9:20</t>
        </r>
      </text>
    </comment>
    <comment ref="C28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10/21 9 AM</t>
        </r>
      </text>
    </comment>
    <comment ref="C28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10/18 9:20</t>
        </r>
      </text>
    </comment>
    <comment ref="C28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IR 10/19 9 AM</t>
        </r>
      </text>
    </comment>
    <comment ref="C29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A2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bkd</t>
        </r>
      </text>
    </comment>
    <comment ref="C29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3:45 pm</t>
        </r>
      </text>
    </comment>
    <comment ref="I294" authorId="0" shapeId="0">
      <text>
        <r>
          <rPr>
            <b/>
            <sz val="9"/>
            <color indexed="81"/>
            <rFont val="Tahoma"/>
            <family val="2"/>
          </rPr>
          <t>Suenne Dixon:</t>
        </r>
        <r>
          <rPr>
            <sz val="9"/>
            <color indexed="81"/>
            <rFont val="Tahoma"/>
            <family val="2"/>
          </rPr>
          <t xml:space="preserve">
2:40 per old master
12:40 per new master
(probably not human error)</t>
        </r>
      </text>
    </comment>
    <comment ref="C295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296" authorId="2" shapeId="0">
      <text>
        <r>
          <rPr>
            <b/>
            <sz val="9"/>
            <color indexed="81"/>
            <rFont val="Tahoma"/>
            <family val="2"/>
          </rPr>
          <t>Olivier Fabris:</t>
        </r>
        <r>
          <rPr>
            <sz val="9"/>
            <color indexed="81"/>
            <rFont val="Tahoma"/>
            <family val="2"/>
          </rPr>
          <t xml:space="preserve">
CLD per transition 10/14 6pm</t>
        </r>
      </text>
    </comment>
    <comment ref="C297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10/25 8:45</t>
        </r>
      </text>
    </comment>
    <comment ref="C298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299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300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IR 10/20 9:30</t>
        </r>
      </text>
    </comment>
    <comment ref="C301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EPIC 10/26 11:35</t>
        </r>
      </text>
    </comment>
    <comment ref="C302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int double booked 10/27 1:30</t>
        </r>
      </text>
    </comment>
    <comment ref="C303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CLD PER GATEWAY 10/14 8:45</t>
        </r>
      </text>
    </comment>
    <comment ref="C304" authorId="1" shapeId="0">
      <text>
        <r>
          <rPr>
            <b/>
            <sz val="9"/>
            <color indexed="81"/>
            <rFont val="Tahoma"/>
            <family val="2"/>
          </rPr>
          <t>Karla Nahmmacher:</t>
        </r>
        <r>
          <rPr>
            <sz val="9"/>
            <color indexed="81"/>
            <rFont val="Tahoma"/>
            <family val="2"/>
          </rPr>
          <t xml:space="preserve">
IR 10/19 9 AM</t>
        </r>
      </text>
    </comment>
  </commentList>
</comments>
</file>

<file path=xl/sharedStrings.xml><?xml version="1.0" encoding="utf-8"?>
<sst xmlns="http://schemas.openxmlformats.org/spreadsheetml/2006/main" count="22831" uniqueCount="815">
  <si>
    <t>Notes</t>
  </si>
  <si>
    <t>Interpreter</t>
  </si>
  <si>
    <t>Status</t>
  </si>
  <si>
    <t>Last Name</t>
  </si>
  <si>
    <t>First Name</t>
  </si>
  <si>
    <t>Language</t>
  </si>
  <si>
    <t>U Number</t>
  </si>
  <si>
    <t>Date</t>
  </si>
  <si>
    <t>Start</t>
  </si>
  <si>
    <t>End</t>
  </si>
  <si>
    <t>Min</t>
  </si>
  <si>
    <t>Department</t>
  </si>
  <si>
    <t>Type</t>
  </si>
  <si>
    <t>Perm Com</t>
  </si>
  <si>
    <t>Reason for Change</t>
  </si>
  <si>
    <t>Made Date</t>
  </si>
  <si>
    <t>Entry Person</t>
  </si>
  <si>
    <t>Changed</t>
  </si>
  <si>
    <t>Canc Date</t>
  </si>
  <si>
    <t>Cancel Person</t>
  </si>
  <si>
    <t>Canc Reason</t>
  </si>
  <si>
    <t>Rescheduled</t>
  </si>
  <si>
    <t>VRI</t>
  </si>
  <si>
    <t>Sch</t>
  </si>
  <si>
    <t>Spanish</t>
  </si>
  <si>
    <t>SCCA LAB</t>
  </si>
  <si>
    <t>SCCA INFUSION SERVICES</t>
  </si>
  <si>
    <t>SCCA INFUSION SERVICES, SCCA INFUSION SERVICES</t>
  </si>
  <si>
    <t>F ONLY</t>
  </si>
  <si>
    <t>Irina O'Claire</t>
  </si>
  <si>
    <t>Filippov</t>
  </si>
  <si>
    <t>Nina</t>
  </si>
  <si>
    <t>Russian</t>
  </si>
  <si>
    <t>U4050011</t>
  </si>
  <si>
    <t>HYDRATION 240 T</t>
  </si>
  <si>
    <t>Daughter Kristina Coleman is primary contact; speaks English. Phone number is local number above.
Patient prefers interp Carina V. PF/SCCA/04.27.16
Patient prefers female only interpreters. PF/SCCA/04.27.16</t>
  </si>
  <si>
    <t>LOULIAS, CATHERINE D [1506934]</t>
  </si>
  <si>
    <t>Korean</t>
  </si>
  <si>
    <t>Adding/ Removing Provider</t>
  </si>
  <si>
    <t>OGDEN, LAURYN A [EUID5026487]</t>
  </si>
  <si>
    <t>CLD</t>
  </si>
  <si>
    <t>Cantonese</t>
  </si>
  <si>
    <t>SCCA PORT ACCESS CLINIC</t>
  </si>
  <si>
    <t>PORT BLOOD DRAW-LAB</t>
  </si>
  <si>
    <t>Made On [1]</t>
  </si>
  <si>
    <t>RAGAN, CHRISTOPHER J [EUID5027209]</t>
  </si>
  <si>
    <t>SCCA BLOOD DRAW 6TH FLOOR</t>
  </si>
  <si>
    <t>6TH FLOOR BLOOD DRAW</t>
  </si>
  <si>
    <t>Yvonne Leung</t>
  </si>
  <si>
    <t>SCCA THORACIC HEAD AND NECK</t>
  </si>
  <si>
    <t>SCCA RETURN</t>
  </si>
  <si>
    <t>Adding/ Removing Provider
Adding/ Removing Provider</t>
  </si>
  <si>
    <t>Unfilled</t>
  </si>
  <si>
    <t>SCCA GENERAL ONCOLOGY</t>
  </si>
  <si>
    <t>WOUND OSTOMY RET</t>
  </si>
  <si>
    <t>SCCA GENERAL ONCOLOGY, SCCA GENERAL ONCOLOGY</t>
  </si>
  <si>
    <t>FANG, RYAN C [EUID5036649]</t>
  </si>
  <si>
    <t>Jessica Paredes</t>
  </si>
  <si>
    <t>Patricia Garrod</t>
  </si>
  <si>
    <t>S EH GENERAL ONCOLOGY/HEMATOLOGY</t>
  </si>
  <si>
    <t>PORT DRAW + RET 30</t>
  </si>
  <si>
    <t>S EH GENERAL ONCOLOGY/HEMATOLOGY, S EH GENERAL ONCOLOGY/HEMATOLOGY, S EH GENERAL ONCOLOGY/HEMATOLOGY</t>
  </si>
  <si>
    <t>IVES, EVANGELINE B [EUID5035500]</t>
  </si>
  <si>
    <t>PHARMACY CHEMO TEACH D</t>
  </si>
  <si>
    <t>Salcedo</t>
  </si>
  <si>
    <t>Raul</t>
  </si>
  <si>
    <t>U4052691</t>
  </si>
  <si>
    <t>YELLOW LAB TEST</t>
  </si>
  <si>
    <t>Hickman line</t>
  </si>
  <si>
    <t>CLARK, AMY J [EUID5042568]</t>
  </si>
  <si>
    <t>Nivea Prieto</t>
  </si>
  <si>
    <t>Manjarrez</t>
  </si>
  <si>
    <t>Raquel</t>
  </si>
  <si>
    <t>U4659849</t>
  </si>
  <si>
    <t>SCCA SARCOMA CLINIC ML</t>
  </si>
  <si>
    <t>SCCA -- Sarcoma -- Pt does not need translator for scheduling -- 4/7/15 -- erl</t>
  </si>
  <si>
    <t>SCCA SARCOMA CLINIC ML, SCCA SARCOMA LAB</t>
  </si>
  <si>
    <t>LEE, ERIKA R [EUID5029495]</t>
  </si>
  <si>
    <t>Edmundo de la Garza</t>
  </si>
  <si>
    <t>Diaz</t>
  </si>
  <si>
    <t>Jesus</t>
  </si>
  <si>
    <t>U4129472</t>
  </si>
  <si>
    <t>SCCA PALLIATIVE CARE CLINIC</t>
  </si>
  <si>
    <t>RETURN 45</t>
  </si>
  <si>
    <t>**pt speaks English May 2016 -JW</t>
  </si>
  <si>
    <t>SCCA PALLIATIVE CARE CLINIC, SCCA PALLIATIVE CARE CLINIC</t>
  </si>
  <si>
    <t>LCL</t>
  </si>
  <si>
    <t>Mboge</t>
  </si>
  <si>
    <t>Awa</t>
  </si>
  <si>
    <t>Mandinka</t>
  </si>
  <si>
    <t>U3983789</t>
  </si>
  <si>
    <t>SARCOMA RET</t>
  </si>
  <si>
    <t>SCCA SARCOMA CLINIC ML, SCCA SARCOMA CLINIC ML</t>
  </si>
  <si>
    <t>S EH INFUSION</t>
  </si>
  <si>
    <t>SUBSEQUENT INFUSION</t>
  </si>
  <si>
    <t>S EH INFUSION, S EH INFUSION</t>
  </si>
  <si>
    <t>Rescheduled [8]</t>
  </si>
  <si>
    <t>SCHRENKER, MARILOU R [EUID5020571]</t>
  </si>
  <si>
    <t>Keoninh</t>
  </si>
  <si>
    <t>Chris</t>
  </si>
  <si>
    <t>Thai</t>
  </si>
  <si>
    <t>U3994112</t>
  </si>
  <si>
    <t>DEAS, JENNIFER [EUID5042533]</t>
  </si>
  <si>
    <t>Telephonic</t>
  </si>
  <si>
    <t>SCCA ANTI COAGULATION CLINIC</t>
  </si>
  <si>
    <t>SCCA GENERAL ONCOLOGY, SCCA GASTROINTESTINAL ONCOLOGY A</t>
  </si>
  <si>
    <t>SHANKS-DIZARD, MARILYN L [EUID5030513]</t>
  </si>
  <si>
    <t>SCCA TRANSPLANT CLINIC</t>
  </si>
  <si>
    <t>DRESSING CHANGE - MA</t>
  </si>
  <si>
    <t>SCCA TRANSPLANT CLINIC, SCCA TRANSPLANT CLINIC</t>
  </si>
  <si>
    <t>SCCA NUTRITIONAL SERVICES</t>
  </si>
  <si>
    <t>SCCA NUTRITIONAL SERVICES, SCCA TRANSPLANT CLINIC</t>
  </si>
  <si>
    <t>Thomas Wu</t>
  </si>
  <si>
    <t>Cheng</t>
  </si>
  <si>
    <t>Mandarin</t>
  </si>
  <si>
    <t>SCCA RADIOLOGY</t>
  </si>
  <si>
    <t>CHEST CT SCAN</t>
  </si>
  <si>
    <t>Scheduling/ Clinic Error</t>
  </si>
  <si>
    <t>Mariam Lehn</t>
  </si>
  <si>
    <t>Farsi</t>
  </si>
  <si>
    <t>SCCA SOCIAL WORK</t>
  </si>
  <si>
    <t>INTERPRETER SERVICES CONSULT</t>
  </si>
  <si>
    <t>SHU-HUA</t>
  </si>
  <si>
    <t>Shu-Hua Huang</t>
  </si>
  <si>
    <t>Tang</t>
  </si>
  <si>
    <t>Xue</t>
  </si>
  <si>
    <t>U4119614</t>
  </si>
  <si>
    <t>Prefers Interpreter: Shu-Hua Huang.  MM 4/18/16</t>
  </si>
  <si>
    <t>SUNRISE, MICHEL M [1503338]</t>
  </si>
  <si>
    <t>Henry Sul</t>
  </si>
  <si>
    <t>Yi</t>
  </si>
  <si>
    <t>Chung Im</t>
  </si>
  <si>
    <t>U4160640</t>
  </si>
  <si>
    <t>S NWH GENERAL ONCOLOGY/HEMATOLOGY</t>
  </si>
  <si>
    <t>PERIPHERAL LAB</t>
  </si>
  <si>
    <t>CCR patient has no middle name 6/6/16 JOG</t>
  </si>
  <si>
    <t>S NWH GENERAL ONCOLOGY/HEMATOLOGY, S NWH GENERAL ONCOLOGY/HEMATOLOGY</t>
  </si>
  <si>
    <t>RIPOLI, ANGELA R [EUID5019866]</t>
  </si>
  <si>
    <t>SCCA FINANCE</t>
  </si>
  <si>
    <t>REGISTER-W</t>
  </si>
  <si>
    <t>Japanese</t>
  </si>
  <si>
    <t>SCCA YELLOW TEAM</t>
  </si>
  <si>
    <t>YELLOW CLINIC VISIT</t>
  </si>
  <si>
    <t>Zhang</t>
  </si>
  <si>
    <t>Xiao</t>
  </si>
  <si>
    <t>U3452864</t>
  </si>
  <si>
    <t>SCCA BREAST HEALTH CLINIC</t>
  </si>
  <si>
    <t>SCCA NEW 60 MIN</t>
  </si>
  <si>
    <t>SCCA BREAST HEALTH CLINIC, SCCA ONCOLOGY CLINICS AND WOMEN'S CENTER</t>
  </si>
  <si>
    <t>SCCA PEDS CONTINUING CARE</t>
  </si>
  <si>
    <t>PEDS CLINIC VISIT</t>
  </si>
  <si>
    <t>SCCA PEDS CONTINUING CARE, SCCA GREEN TEAM, SCCA TRANSPLANT CLINIC, SCCA GREEN TEAM</t>
  </si>
  <si>
    <t>SMITH, BRIDGETTE R [EUID5031041]</t>
  </si>
  <si>
    <t>Other patient needs
Other patient needs
Other patient needs</t>
  </si>
  <si>
    <t>America Breton</t>
  </si>
  <si>
    <t>Margarita</t>
  </si>
  <si>
    <t>SCCA HEME/HEM MALIGNANCIES A</t>
  </si>
  <si>
    <t>SCCA HEME/HEM MALIGNANCIES A, SCCA HEME/HEM MALIGNANCIES A</t>
  </si>
  <si>
    <t>JOHNSON, KYLEE ANN [EUID5039136]</t>
  </si>
  <si>
    <t>HINESLEY, NICHOLE [EUID5039349]</t>
  </si>
  <si>
    <t>YELLOW NUTRITION CLINIC</t>
  </si>
  <si>
    <t>Hanna Nguyen</t>
  </si>
  <si>
    <t>Vietnamese</t>
  </si>
  <si>
    <t>SCCA PHYSICAL &amp; OCCUPATIONAL THERAPY</t>
  </si>
  <si>
    <t>PAGLIARINI, CATHY J [EUID5005509]</t>
  </si>
  <si>
    <t>SCCA THORACIC HEAD AND NECK, SCCA THORACIC HEAD AND NECK</t>
  </si>
  <si>
    <t>YOON</t>
  </si>
  <si>
    <t>SCCA PROCEDURE SUITE</t>
  </si>
  <si>
    <t>FLOWERS, GABRIELLE L [EUID5039203]</t>
  </si>
  <si>
    <t>NEULASTA</t>
  </si>
  <si>
    <t>Kokage</t>
  </si>
  <si>
    <t>Shinji</t>
  </si>
  <si>
    <t>U2696849</t>
  </si>
  <si>
    <t>PHY THERAPY RET 60 HG</t>
  </si>
  <si>
    <t>NO MIDDLE NAME
*Hickman*
PLease have interpreter Fukuko Jilmore for appts/David 4/15/16</t>
  </si>
  <si>
    <t>TAXOL 1 HR</t>
  </si>
  <si>
    <t>Yoon Jung Oh</t>
  </si>
  <si>
    <t>SCCA BREAST ONCOLOGY CLINIC</t>
  </si>
  <si>
    <t>SCCA BREAST ONCOLOGY CLINIC, SCCA ONCOLOGY CLINICS AND WOMEN'S CENTER</t>
  </si>
  <si>
    <t>SCCA GASTROINTESTINAL ONCOLOGY A</t>
  </si>
  <si>
    <t>SCCA GASTROINTESTINAL ONCOLOGY A, SCCA GENERAL ONCOLOGY</t>
  </si>
  <si>
    <t>SCCA RADIOLOGY MAMMOG</t>
  </si>
  <si>
    <t>MAMMOGRAM-SCREENING</t>
  </si>
  <si>
    <t>CHEST XRAY</t>
  </si>
  <si>
    <t>Hanna Ionis</t>
  </si>
  <si>
    <t>Maria</t>
  </si>
  <si>
    <t>BLOOD DRAW PERIPHERAL</t>
  </si>
  <si>
    <t xml:space="preserve">SOCIAL WORKER NEW-GO   </t>
  </si>
  <si>
    <t>SCCA SOCIAL WORK, SCCA GENERAL ONCOLOGY</t>
  </si>
  <si>
    <t>WAGNON, JENNIFER L [EUID5024360]</t>
  </si>
  <si>
    <t>SCCA ORANGE TEAM</t>
  </si>
  <si>
    <t>SCCA ORANGE TEAM, SCCA RED TEAM, SCCA TRANSPLANT CLINIC, SCCA ORANGE TEAM</t>
  </si>
  <si>
    <t>NIVOLUMAB</t>
  </si>
  <si>
    <t>S EH LAB</t>
  </si>
  <si>
    <t>S EH LAB, S EH LAB</t>
  </si>
  <si>
    <t>SCCA CLINICAL TRIALS UNIT</t>
  </si>
  <si>
    <t>SCCA CLINICAL TRIALS UNIT, SCCA CLINICAL TRIALS UNIT</t>
  </si>
  <si>
    <t>RN ASSESSMENT-30 PS</t>
  </si>
  <si>
    <t>PECK, JILL MARIE [EUID5037880]</t>
  </si>
  <si>
    <t>SONG, JANE Y [EUID5027029]</t>
  </si>
  <si>
    <t>Kim</t>
  </si>
  <si>
    <t>SCCA PROCEDURE SUITE, SCCA PROCEDURE SUITE</t>
  </si>
  <si>
    <t>SCCA GASTROINTESTINAL ONCOLOGY A, SCCA GASTROINTESTINAL ONCOLOGY A</t>
  </si>
  <si>
    <t>Gaitan de Rodriguez</t>
  </si>
  <si>
    <t>Ana</t>
  </si>
  <si>
    <t>U4014195</t>
  </si>
  <si>
    <t>Member requires spanish interpretor</t>
  </si>
  <si>
    <t>HOME INFUSION PUMP CONNECT</t>
  </si>
  <si>
    <t>SCCA OUTSIDE CONSULTANTS</t>
  </si>
  <si>
    <t>Manbir Kaur</t>
  </si>
  <si>
    <t>Panjabi</t>
  </si>
  <si>
    <t>Canceled [4]</t>
  </si>
  <si>
    <t>BUCKLIN, TIFFANY [EUID5034665]</t>
  </si>
  <si>
    <t>Clinic-Clinic cancelled/rescheduled appointment</t>
  </si>
  <si>
    <t>Yes</t>
  </si>
  <si>
    <t>SARCOMA VITALS</t>
  </si>
  <si>
    <t>Sachiko Miyagi-Hack</t>
  </si>
  <si>
    <t>Selina Zhang</t>
  </si>
  <si>
    <t>Chen</t>
  </si>
  <si>
    <t>Daqing</t>
  </si>
  <si>
    <t>U4093724</t>
  </si>
  <si>
    <t>TAN ARRIVAL NUTRITION</t>
  </si>
  <si>
    <t>Patient requests interepter Shu-Hua Huang when possible.</t>
  </si>
  <si>
    <t>FULLER, ANITRA D [1400054]</t>
  </si>
  <si>
    <t>EG</t>
  </si>
  <si>
    <t>MRI-SCCA</t>
  </si>
  <si>
    <t>Shin</t>
  </si>
  <si>
    <t>Patient-Patient unable to keep appointment</t>
  </si>
  <si>
    <t>CT CONTRAST-60</t>
  </si>
  <si>
    <t>SCCA RADIOLOGY, SCCA RADIOLOGY</t>
  </si>
  <si>
    <t>Tran</t>
  </si>
  <si>
    <t>Lam</t>
  </si>
  <si>
    <t>U2143058</t>
  </si>
  <si>
    <t>UWMC, per patient, it's okay to speak with his daughters who speak both English &amp; Vietnamese Chinh Tran (cell: 206-766-0229) &amp; Truong Tran (206-540-2170 or 206-307-7824) about scheduling / appointments.  Patient needs Vietnamese interpreter for visits, 8-19-13, mpadilla 
daughter Chinh mobile# listed 206-766-0229
son &amp; daughter speak English</t>
  </si>
  <si>
    <t>KHIM, OUSUPHEA [EUID5037291]</t>
  </si>
  <si>
    <t>Ethel Siu</t>
  </si>
  <si>
    <t>REGISTER-M</t>
  </si>
  <si>
    <t>PHRYDAS, PETER A [EUID5016630]</t>
  </si>
  <si>
    <t>Mandy Le</t>
  </si>
  <si>
    <t>MAMMOGRAM-DIAGNOSTIC</t>
  </si>
  <si>
    <t>BREAST ULTRASOUND</t>
  </si>
  <si>
    <t>XRAY</t>
  </si>
  <si>
    <t>Nguyen</t>
  </si>
  <si>
    <t>REGISTER-G</t>
  </si>
  <si>
    <t>Cynthia Chiu</t>
  </si>
  <si>
    <t>Fung</t>
  </si>
  <si>
    <t>Kwan</t>
  </si>
  <si>
    <t>U3812518</t>
  </si>
  <si>
    <t>LEW, SHELBY L [EUID5030512]</t>
  </si>
  <si>
    <t>RETURN 30</t>
  </si>
  <si>
    <t>S NWH GENERAL ONCOLOGY/HEMATOLOGY, S NWH GENERAL ONCOLOGY/HEMATOLOGY, S NWH GENERAL ONCOLOGY/HEMATOLOGY</t>
  </si>
  <si>
    <t>SINGH, LETEESHA RACHELLE [EUID5038745]</t>
  </si>
  <si>
    <t>RN ASSESSMENT</t>
  </si>
  <si>
    <t>SCCA PET/CT</t>
  </si>
  <si>
    <t>SCCA PET SCAN</t>
  </si>
  <si>
    <t>LAB OK</t>
  </si>
  <si>
    <t>BONE MARROW ASPIRATION</t>
  </si>
  <si>
    <t>SCCA PROCEDURE SUITE, SCCA LAB</t>
  </si>
  <si>
    <t>Karbasian</t>
  </si>
  <si>
    <t>Hossein</t>
  </si>
  <si>
    <t>U3783570</t>
  </si>
  <si>
    <t>SCCA PHONE HEME/HEM MALIGNANCIES A</t>
  </si>
  <si>
    <t>PHONE CONSULT-15 MIN</t>
  </si>
  <si>
    <t>OBLERO, JEFFREY A [1505077]</t>
  </si>
  <si>
    <t>LUPERCIO-DOMINGUEZ</t>
  </si>
  <si>
    <t>BEATRIZ</t>
  </si>
  <si>
    <t>SPANISH</t>
  </si>
  <si>
    <t>U4127371</t>
  </si>
  <si>
    <t>BORTEZOMIB</t>
  </si>
  <si>
    <t>SCCA RESULT REVIEW</t>
  </si>
  <si>
    <t>PACLITAXEL 1 HR</t>
  </si>
  <si>
    <t>S NWH GENERAL ONCOLOGY/HEMATOLOGY, S NWH INFUSION, S NWH GENERAL ONCOLOGY/HEMATOLOGY</t>
  </si>
  <si>
    <t>Sisounong</t>
  </si>
  <si>
    <t>Samrouay</t>
  </si>
  <si>
    <t>Lao</t>
  </si>
  <si>
    <t>U3376120</t>
  </si>
  <si>
    <t>INJECTION</t>
  </si>
  <si>
    <t>CLARK, JENISE CHRISTINE [EUID5038711]</t>
  </si>
  <si>
    <t>Shau-Lee Chow</t>
  </si>
  <si>
    <t>CAMERON, ADRIAN [EUID5011096]</t>
  </si>
  <si>
    <t>RET 30</t>
  </si>
  <si>
    <t>CLANCY, CHRISTINA L [EUID5021845]</t>
  </si>
  <si>
    <t>Bochantin Gamez</t>
  </si>
  <si>
    <t>Miriam</t>
  </si>
  <si>
    <t>U4129552</t>
  </si>
  <si>
    <t>FOLFOX/BEVACIZUMAB SUB DOSE</t>
  </si>
  <si>
    <t xml:space="preserve">***PUMP COMPANY INFUSYSTEM. Same day labs ok.***pl_april2016.  Please schedule Ana Patricia Garrod when available.  EG/SCCA/10.07.16.  Female interpreters only.  Please do not dismiss interpreter.  </t>
  </si>
  <si>
    <t>Needs different appointment duration
Needs different appointment duration</t>
  </si>
  <si>
    <t>CLARK, SARAH [EUID5035074]</t>
  </si>
  <si>
    <t>Amharic</t>
  </si>
  <si>
    <t>SCCA RADIATION THERAPY</t>
  </si>
  <si>
    <t>SCCA RED TEAM</t>
  </si>
  <si>
    <t>Cambodian</t>
  </si>
  <si>
    <t>Tessavan Ros</t>
  </si>
  <si>
    <t>Huang</t>
  </si>
  <si>
    <t>Zhiqiang</t>
  </si>
  <si>
    <t>U3354850</t>
  </si>
  <si>
    <t>Jin</t>
  </si>
  <si>
    <t>Kyoung Sun</t>
  </si>
  <si>
    <t>U4156723</t>
  </si>
  <si>
    <t>Chau</t>
  </si>
  <si>
    <t>Yen</t>
  </si>
  <si>
    <t>U4160866</t>
  </si>
  <si>
    <t>SUBSEQUENT CHEMO</t>
  </si>
  <si>
    <t>Mesook Seo Yeom</t>
  </si>
  <si>
    <t>Alghanmh</t>
  </si>
  <si>
    <t>Zainb</t>
  </si>
  <si>
    <t>Arabic</t>
  </si>
  <si>
    <t>U3778829</t>
  </si>
  <si>
    <t>Pervaiz</t>
  </si>
  <si>
    <t>Aleezay</t>
  </si>
  <si>
    <t>Urdu</t>
  </si>
  <si>
    <t>U3842875</t>
  </si>
  <si>
    <t>Carmen Zamani</t>
  </si>
  <si>
    <t>Singh</t>
  </si>
  <si>
    <t>Arvinder</t>
  </si>
  <si>
    <t>U4127400</t>
  </si>
  <si>
    <t>Ferraz</t>
  </si>
  <si>
    <t>Manuella</t>
  </si>
  <si>
    <t>Portuguese</t>
  </si>
  <si>
    <t>U4185386</t>
  </si>
  <si>
    <t>LAB DRAW + RET 30</t>
  </si>
  <si>
    <t>Young</t>
  </si>
  <si>
    <t xml:space="preserve">SCCA ONCOLOGY CLINICAL TRIALS    </t>
  </si>
  <si>
    <t>IONIS</t>
  </si>
  <si>
    <t>Gandelman</t>
  </si>
  <si>
    <t>Viktor</t>
  </si>
  <si>
    <t>U2320042</t>
  </si>
  <si>
    <t>Al Nidawi</t>
  </si>
  <si>
    <t>Qahtan</t>
  </si>
  <si>
    <t>U3786128</t>
  </si>
  <si>
    <t>SCCA VIOLET TEAM</t>
  </si>
  <si>
    <t>Ukrainian</t>
  </si>
  <si>
    <t>Tatiana Nazarco</t>
  </si>
  <si>
    <t>SCCA TAN TEAM</t>
  </si>
  <si>
    <t>TAN CLINIC VISIT</t>
  </si>
  <si>
    <t>GEMCITABINE</t>
  </si>
  <si>
    <t>Nad</t>
  </si>
  <si>
    <t>Nikolay</t>
  </si>
  <si>
    <t>U4207449</t>
  </si>
  <si>
    <t>Debela</t>
  </si>
  <si>
    <t>Zewde</t>
  </si>
  <si>
    <t>U4170427</t>
  </si>
  <si>
    <t>BRIDSON, PAULA E [EUID5036351]</t>
  </si>
  <si>
    <t>BEHZADPOUR, HENGAMEH KAMILIA [EUID5041460]</t>
  </si>
  <si>
    <t>Haimanot Gebremeriam</t>
  </si>
  <si>
    <t>Wai Cheuk</t>
  </si>
  <si>
    <t>SCCA ORAL MEDICINE</t>
  </si>
  <si>
    <t>SCCA ORAL MEDICINE, SCCA ORAL MEDICINE</t>
  </si>
  <si>
    <t>Tagalog</t>
  </si>
  <si>
    <t>Sung</t>
  </si>
  <si>
    <t>Phung</t>
  </si>
  <si>
    <t>Viet</t>
  </si>
  <si>
    <t>U2937201</t>
  </si>
  <si>
    <t>ANUNDA, LILLIAN T [EUID5011447]</t>
  </si>
  <si>
    <t>Puentes-Reveles</t>
  </si>
  <si>
    <t>Apolinar</t>
  </si>
  <si>
    <t>U3969683</t>
  </si>
  <si>
    <t>PORT + HICKMAN
PT DOESN'T HAVE MIDDLE NAME. LEGAL NAME ON ID PUENTE,APOLINAR</t>
  </si>
  <si>
    <t>SAELEE, FEY H [EUID5017520]</t>
  </si>
  <si>
    <t>Adding/ Removing Provider
Adding/ Removing Provider
Adding/ Removing Provider
Adding/ Removing Provider</t>
  </si>
  <si>
    <t>ORANGE LAB TEST</t>
  </si>
  <si>
    <t>Murcia</t>
  </si>
  <si>
    <t>U3552527</t>
  </si>
  <si>
    <t>*** PORT ***
Pt. always needs interpreter present for appointments in Radiation Oncology. 3/5/14 jp. 03 17 14: Gave patient and therapist NONC form to sign ~ MAO.</t>
  </si>
  <si>
    <t>Xu</t>
  </si>
  <si>
    <t>Shuyan</t>
  </si>
  <si>
    <t>U3236155</t>
  </si>
  <si>
    <t>Must have in-person interpreter for eye exams
Pt requests Shu-hua Huang for interpreter 3/14/16 -RCF
NWMC Seattle ENT: Verified Photo ID via Passport/ 6/27/16 NN</t>
  </si>
  <si>
    <t>Other clinical indication</t>
  </si>
  <si>
    <t>GAGE, JOSEPHINE [EUID5024178]</t>
  </si>
  <si>
    <t>BUCASAS, AMBER R [EUID5020644]</t>
  </si>
  <si>
    <t>LEUPROLIDE</t>
  </si>
  <si>
    <t>Karine Veliyeva</t>
  </si>
  <si>
    <t>Sidorchuk</t>
  </si>
  <si>
    <t>U2585750</t>
  </si>
  <si>
    <t xml:space="preserve">CETUXIMAB  </t>
  </si>
  <si>
    <t>DIXIT, SHWETA [EUID5041824]</t>
  </si>
  <si>
    <t>SCCA WOMEN'S WELLNESS CLINIC</t>
  </si>
  <si>
    <t>Paul Natkin</t>
  </si>
  <si>
    <t>ORANGE CLINIC VISIT</t>
  </si>
  <si>
    <t>Prefers interpreter Hanna Ionis.  EG/SCCA/09.12.16</t>
  </si>
  <si>
    <t>NGUYEN, MICHELLE LINH [EUID5041721]</t>
  </si>
  <si>
    <t>Li</t>
  </si>
  <si>
    <t>Tan</t>
  </si>
  <si>
    <t>U3818824</t>
  </si>
  <si>
    <t>*PORT*</t>
  </si>
  <si>
    <t>Eltarawy</t>
  </si>
  <si>
    <t>U3387543</t>
  </si>
  <si>
    <t xml:space="preserve">SCCA ONCOLOGY CLINICAL TRIALS    , SCCA ONCOLOGY CLINICAL TRIALS    </t>
  </si>
  <si>
    <t>TEENY, MARLA L [1502523]</t>
  </si>
  <si>
    <t>DOXORUBICIN LIPOSOMAL</t>
  </si>
  <si>
    <t>SCCA HEME/HEM MALIGNANCIES A, SCCA GENERAL ONCOLOGY, SCCA HEME/HEM MALIGNANCIES A</t>
  </si>
  <si>
    <t>Adding/ Removing Provider
Adding/ Removing Provider
Adding/ Removing Provider</t>
  </si>
  <si>
    <t>Irene Pletner</t>
  </si>
  <si>
    <t>Patient unavailable at this time/ change time
Patient unavailable at this time/ change time
Patient unavailable at this time/ change time
Patient unavailable at this time/ change time</t>
  </si>
  <si>
    <t>Adding/ Removing Provider
Adding/ Removing Provider
Adding/ Removing Provider
Adding/ Removing Provider
Adding/ Removing Provider
Adding/ Removing Provider</t>
  </si>
  <si>
    <t>Kamal Abou-Zaki</t>
  </si>
  <si>
    <t>TAN LAB TEST</t>
  </si>
  <si>
    <t>Changed [11]</t>
  </si>
  <si>
    <t>Michael Maunahan</t>
  </si>
  <si>
    <t>FISCHER, MEAGAN P [EUID5034406]</t>
  </si>
  <si>
    <t>SCCA YELLOW TEAM, SCCA TRANSPLANT CLINIC, SCCA YELLOW TEAM</t>
  </si>
  <si>
    <t>Byung</t>
  </si>
  <si>
    <t>U3224613</t>
  </si>
  <si>
    <t>Yang</t>
  </si>
  <si>
    <t>U4229881</t>
  </si>
  <si>
    <t>*interpreter ONLY for clinic visits.  Do not schedule interpreters for Infusion. EG/SCCA/10.14.16</t>
  </si>
  <si>
    <t>Anunda, Lillian T [EUID5011447]</t>
  </si>
  <si>
    <t>Cha</t>
  </si>
  <si>
    <t>Bum</t>
  </si>
  <si>
    <t>U3279967</t>
  </si>
  <si>
    <t>*next vaccination in November -- kvs</t>
  </si>
  <si>
    <t>WHITTIER, ERIKA A [EUID5040479]</t>
  </si>
  <si>
    <t>Dung</t>
  </si>
  <si>
    <t>DRESSING CHANGE GO</t>
  </si>
  <si>
    <t>SCCA GENERAL ONCOLOGY, SCCA HEME/HEM MALIGNANCIES A</t>
  </si>
  <si>
    <t>Peng</t>
  </si>
  <si>
    <t>Jingyi</t>
  </si>
  <si>
    <t>U3449855</t>
  </si>
  <si>
    <t>***Port***
Patient prefers Shu-Hua Huang.  EG/SCCA/03.30.16</t>
  </si>
  <si>
    <t>RUSHEN, SARAH [EUID5035063]</t>
  </si>
  <si>
    <t>Zhao</t>
  </si>
  <si>
    <t>Yazhi</t>
  </si>
  <si>
    <t>U4181352</t>
  </si>
  <si>
    <t>SIUM</t>
  </si>
  <si>
    <t>KAHSAI</t>
  </si>
  <si>
    <t>Tigrinya</t>
  </si>
  <si>
    <t>U4168960</t>
  </si>
  <si>
    <t>REQUESTS "Selam" as Tigrinyan interpreter. 
Refer pt see F
CCR - Patient states no middle name. JSnider 6/21/2016</t>
  </si>
  <si>
    <t>Basanes</t>
  </si>
  <si>
    <t>Procerfina</t>
  </si>
  <si>
    <t>Ilocano</t>
  </si>
  <si>
    <t>U3335768</t>
  </si>
  <si>
    <t>Mail itin
Patient also speaks and understands Tagalog but main language is Ilocano.  EG/SCCA/09.08.16</t>
  </si>
  <si>
    <t>Cruz de Salazar</t>
  </si>
  <si>
    <t>Herminia</t>
  </si>
  <si>
    <t>U3634469</t>
  </si>
  <si>
    <t>HMC 9-8-03 RH. PT HAS ( CHPW EASTGATE ) NO SS# OR MIDDLE NAME, RH.
 Mioses - is son and work phone. 
hmc 9/6/03 (dmp) NIC-DSHS/BHP, Patient prefers a Spanish interpreter over Mixteco Bajo as we have been unable to find a Mixteco Bajo interpreter who speaks her same dialect.  EG/SCCA/09.19.16</t>
  </si>
  <si>
    <t>YANAK, CAITLIN R [EUID5032982]</t>
  </si>
  <si>
    <t>Fukuko Gilmore</t>
  </si>
  <si>
    <t>Huan</t>
  </si>
  <si>
    <t>U0398590</t>
  </si>
  <si>
    <t>LFPMC-FILLED OUT PHI FORM-4/4/16 DH
LFP - no interpreter needed for Dr. Ng 04.04.2016
Pt requests Jenny Ho for appts at TSAC 4/15/16</t>
  </si>
  <si>
    <t>Irina</t>
  </si>
  <si>
    <t>Abundis</t>
  </si>
  <si>
    <t>U4236720</t>
  </si>
  <si>
    <t>NUTRITION 3-30 MINUTE</t>
  </si>
  <si>
    <t>Elkharwely</t>
  </si>
  <si>
    <t>Elsayed</t>
  </si>
  <si>
    <t>U3669577</t>
  </si>
  <si>
    <t>UTAYDE, MARIBETH [1503821]</t>
  </si>
  <si>
    <t>PEDS RN ONLY CLINIC</t>
  </si>
  <si>
    <t>SCCA HEME/HEM MALIGNANCIES A, SCCA GENERAL ONCOLOGY</t>
  </si>
  <si>
    <t>Wang</t>
  </si>
  <si>
    <t>Ma</t>
  </si>
  <si>
    <t>Chea</t>
  </si>
  <si>
    <t>U3013088</t>
  </si>
  <si>
    <t>Lupercio-Dominguez</t>
  </si>
  <si>
    <t>Beatriz</t>
  </si>
  <si>
    <t>SCCA NUTRITIONAL SERVICES, SCCA GENERAL ONCOLOGY</t>
  </si>
  <si>
    <t>SCCA GU ONCOLOGY 3</t>
  </si>
  <si>
    <t>SCCA GU ONCOLOGY 3, SCCA ONCOLOGY CLINICS AND WOMEN'S CENTER</t>
  </si>
  <si>
    <t>PEMETREXED</t>
  </si>
  <si>
    <t>BLOOD - 1 UNIT</t>
  </si>
  <si>
    <t xml:space="preserve">UWMC: No Middle name //  Sister in law is a good contact: Raman 206-422-5953 // early mornings prefered </t>
  </si>
  <si>
    <t>Paul</t>
  </si>
  <si>
    <t>U3045911</t>
  </si>
  <si>
    <t>UWMC per patient is okay to speak / schedule with 'Iggy' Ignacio Shin, 4-15-13, mpadilla
Pt speaks Korean **Pt. Prefers interpreter Yoon Jung Oh/AOLTI, or Janet Lee/AOLTI, or Yeachan Hwang/ULS, or Mr. Beck** 
*SCCA son Ignacio (Iggy) speaks english, ok to speak to him at above number  cell : 425-457-0123
iggyshin@yahoo.com
2nd ER contact is (SON)TOM SHIN phone # 503-548-7248</t>
  </si>
  <si>
    <t>Poghosyan</t>
  </si>
  <si>
    <t>Hnazand</t>
  </si>
  <si>
    <t>Armenian</t>
  </si>
  <si>
    <t>U4147818</t>
  </si>
  <si>
    <t xml:space="preserve"> SCCA S EH GEN 6-28-16 Armenian or Russian interpreter OK. DWilliams-Sawtell</t>
  </si>
  <si>
    <t>Ana Remedios</t>
  </si>
  <si>
    <t>Patricia</t>
  </si>
  <si>
    <t>SHIPLEY, ALLISON ANN [EUID5041074]</t>
  </si>
  <si>
    <t>BREAST INTERVENTIONAL (SCCA)</t>
  </si>
  <si>
    <t>SANDERS, STACIE D [1507416]</t>
  </si>
  <si>
    <t>TAXOTERE SUB DOSE</t>
  </si>
  <si>
    <t>Perez</t>
  </si>
  <si>
    <t>Ladislao</t>
  </si>
  <si>
    <t>U3478042</t>
  </si>
  <si>
    <t>**PUMP COMPANY INFUSYSTEM.** /st/Aug_2013
Daughter Lorena Soto - 818-932-4481 - pt likes first appointments of the day -JW</t>
  </si>
  <si>
    <t>Dinh</t>
  </si>
  <si>
    <t>U4194249</t>
  </si>
  <si>
    <t>LAB TEST</t>
  </si>
  <si>
    <t>JACOBSON, STEPHANIE S [EUID5020258]</t>
  </si>
  <si>
    <t>Jock</t>
  </si>
  <si>
    <t>Nyaruey</t>
  </si>
  <si>
    <t>Nuer</t>
  </si>
  <si>
    <t>U4046412</t>
  </si>
  <si>
    <t>HMC -5/2016 please contact Granddaughter for  All appointments  206-880-8377 or Simon  Son 253-886-8147</t>
  </si>
  <si>
    <t>FULGENZI, CHRISTOPHER [1505708]</t>
  </si>
  <si>
    <t>Gonzalez Madrigal</t>
  </si>
  <si>
    <t>Victor</t>
  </si>
  <si>
    <t>U3280350</t>
  </si>
  <si>
    <t>ORAL MED ARRIVAL</t>
  </si>
  <si>
    <t>WHITE, TAMARA B [EUID5012058]</t>
  </si>
  <si>
    <t>MARIAM</t>
  </si>
  <si>
    <t xml:space="preserve">Mariam Lehn </t>
  </si>
  <si>
    <t>Taleban</t>
  </si>
  <si>
    <t>Khanom</t>
  </si>
  <si>
    <t>U3505959</t>
  </si>
  <si>
    <t xml:space="preserve"> please request Maryam for interpreter.</t>
  </si>
  <si>
    <t>1 ON 1 MANAGING CARE</t>
  </si>
  <si>
    <t>Chu</t>
  </si>
  <si>
    <t>Wah</t>
  </si>
  <si>
    <t>U3261986</t>
  </si>
  <si>
    <t>Velet</t>
  </si>
  <si>
    <t>Yakov</t>
  </si>
  <si>
    <t>U3845955</t>
  </si>
  <si>
    <t xml:space="preserve">request Hanna Ionis as interpreter
Daughter Lilya speaks english and to be called for all appt scheduling.  </t>
  </si>
  <si>
    <t>Ivanishchuk</t>
  </si>
  <si>
    <t>Roman</t>
  </si>
  <si>
    <t>U3568228</t>
  </si>
  <si>
    <t>Prefers Afternoon appts
Please have Hannah as interpreter for all future appts--jcunningham (6/2/2015)</t>
  </si>
  <si>
    <t>Morales</t>
  </si>
  <si>
    <t>U3704716</t>
  </si>
  <si>
    <t>SCCA MULTI SVC CLINIC</t>
  </si>
  <si>
    <t>PICC DRESSING CHANGE LAB</t>
  </si>
  <si>
    <t>PATIENT EDUCATION-30</t>
  </si>
  <si>
    <t>UW Medicine ESC : Patient will apply for Financial Assistance/ Charity through UWMC/ her friend Elaine is willing to pay the patient's future bills/ Patient lives with her/ SN/ 08/03/2016</t>
  </si>
  <si>
    <t>TRANSFUSION SUMMARY MEETING</t>
  </si>
  <si>
    <t>TAYLOR, DAVID W [1503267]</t>
  </si>
  <si>
    <t>Kazakova</t>
  </si>
  <si>
    <t>Zinaida</t>
  </si>
  <si>
    <t>U3050286</t>
  </si>
  <si>
    <t xml:space="preserve">Patient Prefers interpreter Hanna Ionis.  </t>
  </si>
  <si>
    <t>EKG</t>
  </si>
  <si>
    <t>SCCA TRANSPLANT CLINIC, SCCA TRANSPLANT CLINIC, SCCA TRANSPLANT CLINIC</t>
  </si>
  <si>
    <t>** Send interpreter for Blood Draws in Lab ** Prefers interpreter Hanna Ionis.  EG/SCCA/09.12.16</t>
  </si>
  <si>
    <t>Martinez-Gonzalez</t>
  </si>
  <si>
    <t>Rufino</t>
  </si>
  <si>
    <t>U3414587</t>
  </si>
  <si>
    <t>RITUX/BENDAMUSTINE SUB DOSE</t>
  </si>
  <si>
    <t>KARINE</t>
  </si>
  <si>
    <t>Surenyants</t>
  </si>
  <si>
    <t>Asya</t>
  </si>
  <si>
    <t>U3173008</t>
  </si>
  <si>
    <t>Pt would like to request Karine Veliyeva with universal for interpreter.  425-772-9194</t>
  </si>
  <si>
    <t>MALA</t>
  </si>
  <si>
    <t>Mala Giri</t>
  </si>
  <si>
    <t>Lin</t>
  </si>
  <si>
    <t>Aung</t>
  </si>
  <si>
    <t>Burmese</t>
  </si>
  <si>
    <t>U3790177</t>
  </si>
  <si>
    <t>PEDS LTFU CONFERENCE</t>
  </si>
  <si>
    <t>Patient mom requests interpreter Mala Giri/AOLTI.  If Mala is unvailable, patient asks only female interpreters be schedule.  EG 08/27/15.</t>
  </si>
  <si>
    <t>SCCA PEDS CONTINUING CARE, SCCA PEDS CONTINUING CARE, SCCA TRANSPLANT CLINIC</t>
  </si>
  <si>
    <t>PEDS FOLLOW-UP PHARMACY</t>
  </si>
  <si>
    <t>Suleiman</t>
  </si>
  <si>
    <t>Shereen</t>
  </si>
  <si>
    <t>U4216431</t>
  </si>
  <si>
    <t>SIDDONS, DANA C [EUID5035497]</t>
  </si>
  <si>
    <t>Hernandez Barrera</t>
  </si>
  <si>
    <t>U3643246</t>
  </si>
  <si>
    <t>NUTRITION 3</t>
  </si>
  <si>
    <t>TATIANA</t>
  </si>
  <si>
    <t>Loksh</t>
  </si>
  <si>
    <t>Alexander</t>
  </si>
  <si>
    <t>U3004473</t>
  </si>
  <si>
    <t>SCCA PULMONARY FUNCTION</t>
  </si>
  <si>
    <t>PULMONARY CONSULT</t>
  </si>
  <si>
    <t>MUST HAVE IN PERSON ALWAYS! Russian speaking, OK per pt to discuss medical issues with daughter Svetlana, 2.3.15-Pt called to request that the clinic ask for Russian interpreter Tatiana Nazarcol if possible, or Irene Pletner (AOLTI).
CCR: Patient states no Middle Name. TGuy 07/11/2016</t>
  </si>
  <si>
    <t>SCCA PULMONARY FUNCTION, SCCA GENERAL ONCOLOGY</t>
  </si>
  <si>
    <t>GYN 60 MINUTES</t>
  </si>
  <si>
    <t xml:space="preserve">NO PHONE  </t>
  </si>
  <si>
    <t>Nadia</t>
  </si>
  <si>
    <t>NEEDS ARABIC INTERPRETER - IN PERSON ONLY, NO TELEPHONIC.</t>
  </si>
  <si>
    <t>Chio</t>
  </si>
  <si>
    <t>En-Long</t>
  </si>
  <si>
    <t>U4231954</t>
  </si>
  <si>
    <t>Mora Cortes</t>
  </si>
  <si>
    <t>Sergio</t>
  </si>
  <si>
    <t>U3429172</t>
  </si>
  <si>
    <t>Pham</t>
  </si>
  <si>
    <t>U4189553</t>
  </si>
  <si>
    <t>Villasenor</t>
  </si>
  <si>
    <t>Heliodoro</t>
  </si>
  <si>
    <t>U3558602</t>
  </si>
  <si>
    <t>PORT FLUSH</t>
  </si>
  <si>
    <t>Please do not assign interpreter Carmen Zamani.</t>
  </si>
  <si>
    <t>8/17/16--Ok to use either cantonese or mandarin interpreters. 
CCR-- patient states no middle name. awagster 2/18/2016</t>
  </si>
  <si>
    <t>Chhun</t>
  </si>
  <si>
    <t>U3810563</t>
  </si>
  <si>
    <t>SCCA PHYSICAL THERAPY NEW 60</t>
  </si>
  <si>
    <t>Patient prefers female providers, no male providers or MAs
Patient prefers female translator</t>
  </si>
  <si>
    <t>LE, THU T [EUID5028595]</t>
  </si>
  <si>
    <t>MAND OK</t>
  </si>
  <si>
    <t>Yuet Tam</t>
  </si>
  <si>
    <t>Nunez-Reyes</t>
  </si>
  <si>
    <t>Lucy</t>
  </si>
  <si>
    <t>U2670288</t>
  </si>
  <si>
    <t>**Pump company Infusystem, same day labs okay** August 2015_WL</t>
  </si>
  <si>
    <t>RUSSIAN OK</t>
  </si>
  <si>
    <t>BENDAMUSTINE</t>
  </si>
  <si>
    <t>FLEX SIG-CCSC</t>
  </si>
  <si>
    <t>Maria Cardona</t>
  </si>
  <si>
    <t>Fonseca</t>
  </si>
  <si>
    <t>Zenaida</t>
  </si>
  <si>
    <t>U3648225</t>
  </si>
  <si>
    <t>Maria Ververi</t>
  </si>
  <si>
    <t>Akalu</t>
  </si>
  <si>
    <t>Abeba</t>
  </si>
  <si>
    <t>U4140959</t>
  </si>
  <si>
    <t>CRONK, KRISTA L [EUID5017956]</t>
  </si>
  <si>
    <t>Galvis</t>
  </si>
  <si>
    <t>Martha</t>
  </si>
  <si>
    <t>U4069267</t>
  </si>
  <si>
    <t>*HICKMAN* to be placed ~ 1/30/16. *Start no earlier than 9 am*</t>
  </si>
  <si>
    <t>Tuyet</t>
  </si>
  <si>
    <t>U4011914</t>
  </si>
  <si>
    <t>UWNC FW SEE SCANNED ROI 08/13/13</t>
  </si>
  <si>
    <t>Jia</t>
  </si>
  <si>
    <t>Shuyue</t>
  </si>
  <si>
    <t>U2280178</t>
  </si>
  <si>
    <t>Hwang</t>
  </si>
  <si>
    <t>U3523853</t>
  </si>
  <si>
    <t>PALLIATIVE RETURN</t>
  </si>
  <si>
    <t>NWH MWH Korean interpreter for appointments, Provider One # 100708946WA / M.Lovely 1-23-15
Ok to release to Stephanie Hwang-Malone (Daughter)
NWH Med Spec; Per patient we may leave a voicemail on 206-729-5397(cell). We may leave detailed information with Stephanie Hwang-Malone(daugther). ARC 7/25/16</t>
  </si>
  <si>
    <t>Obeth</t>
  </si>
  <si>
    <t>Elanjo</t>
  </si>
  <si>
    <t>Kosraean</t>
  </si>
  <si>
    <t>U4195199</t>
  </si>
  <si>
    <t>SMITH, CELIA E [EUID5019949]</t>
  </si>
  <si>
    <t>Ojeda Villalpando</t>
  </si>
  <si>
    <t>U0736878</t>
  </si>
  <si>
    <t>home phone does not have vmail, friend ruth phone not working, ak</t>
  </si>
  <si>
    <t>SCCA TAN TEAM, SCCA RED TEAM, SCCA TRANSPLANT CLINIC, SCCA TAN TEAM</t>
  </si>
  <si>
    <t>SCCA PHONE SARCOMA CLINIC ML</t>
  </si>
  <si>
    <t>PUMP - D/C</t>
  </si>
  <si>
    <t>UW13041 MPDL3280A SUB</t>
  </si>
  <si>
    <t>Rodriguez Martinez</t>
  </si>
  <si>
    <t>Ramon</t>
  </si>
  <si>
    <t>U4039533</t>
  </si>
  <si>
    <t>Home and cell are daughters numbers.  Pt signed ROI ok to discuss and schedule appts with daughter, Rosalba "Rosie"
NO MIDDLE NAME</t>
  </si>
  <si>
    <t>WAGEMAN, TROY [EUID5011075]</t>
  </si>
  <si>
    <t>ORANGE ARRIV CLINIC W/CULTURES</t>
  </si>
  <si>
    <t>Kong</t>
  </si>
  <si>
    <t>Vy</t>
  </si>
  <si>
    <t>U3790678</t>
  </si>
  <si>
    <t>Mobile number is patients daughter Leanna who speaks english. Call daughter for all scheduling at 206-504-0349.
***MEDICARE*** has patient's DOB as 01/02/1947.  Please do not schedule ULS Interpreter Neang Hing. EG/7/24/15</t>
  </si>
  <si>
    <t>Djekoundade</t>
  </si>
  <si>
    <t>Solange</t>
  </si>
  <si>
    <t>French</t>
  </si>
  <si>
    <t>U4192048</t>
  </si>
  <si>
    <t>CHEMO TEACH</t>
  </si>
  <si>
    <t>S NWH GENERAL ONCOLOGY/HEMATOLOGY, S NWH PHARMACY, S NWH GENERAL ONCOLOGY/HEMATOLOGY</t>
  </si>
  <si>
    <t>PULMONARY FUNCTION TEST</t>
  </si>
  <si>
    <t>Panozzo De Benedetto</t>
  </si>
  <si>
    <t>Aurora</t>
  </si>
  <si>
    <t>U2187369</t>
  </si>
  <si>
    <t>HMC - Patient requires in-person interpreter (telephonic interpreters not successful). Pt is very HOH and cannot hear voices in high range. Male/low range voiced interpreters will be most successful. Pocket talkers do not help. lscharnhorst 10/04/2016
Will see ONLY Jan Lambert for Physcial Therapy.  
Cell number is for English-speaking daughter</t>
  </si>
  <si>
    <t xml:space="preserve">Adding/ Removing Provider
Adding/ Removing Provider
</t>
  </si>
  <si>
    <t>SCCA GASTROINTESTINAL ONCOLOGY A, SCCA GENERAL ONCOLOGY, SCCA GASTROINTESTINAL ONCOLOGY A</t>
  </si>
  <si>
    <t>Elkind</t>
  </si>
  <si>
    <t>Ludmila</t>
  </si>
  <si>
    <t>U4226247</t>
  </si>
  <si>
    <t>LOPEZ, RACHEL DE LA CRUZ [EUID5011137]</t>
  </si>
  <si>
    <t>Tamara</t>
  </si>
  <si>
    <t>SCCA ONCOLOFY TRIALS</t>
  </si>
  <si>
    <t>Kenmochi</t>
  </si>
  <si>
    <t>Yuri</t>
  </si>
  <si>
    <t>U4226520</t>
  </si>
  <si>
    <t>CCR - No Middle Name per patient. MGapud 09/28/16</t>
  </si>
  <si>
    <t>SANGPO, NORBU [EUID5025770]</t>
  </si>
  <si>
    <t>Coronado</t>
  </si>
  <si>
    <t>Ramona</t>
  </si>
  <si>
    <t>U4086029</t>
  </si>
  <si>
    <t>RED DONOR LAB TEST</t>
  </si>
  <si>
    <t>Patient unavailable at this time/ change time</t>
  </si>
  <si>
    <t xml:space="preserve">Interpreter Svcs reports that 425-481-8120 is *NOT* this pt's phone number.  [U-MPI: 6/6/08]. Previously at Ballard Care Rehab 782-0100. </t>
  </si>
  <si>
    <t>Change from generic template
Change from generic template
Change from generic template</t>
  </si>
  <si>
    <t>My Tran</t>
  </si>
  <si>
    <t>Relay Interpreter</t>
  </si>
  <si>
    <t>Su'esu'e</t>
  </si>
  <si>
    <t>Itagia</t>
  </si>
  <si>
    <t>Sign Language: Relay</t>
  </si>
  <si>
    <t>U2842081</t>
  </si>
  <si>
    <t>Aaron Peterson (lead caregiver) Call 425-346-7664 Lamin Manneh (206) 834-5290 is taking Aaron's place for scheduling appts.//UWMC:  Lift team needed for ECHO appointments. Patient's Video Relay Phone is 206-455-7950 jef apr 2014. **NEEDS ASL INTERPRETER
FOR ALL VISITS**
If pt needs MRI PLS schedule it @ UWMC.
Always schedule in-person ASL interpreter - do not use VRI.- SCCA/EG 6.24
CCR - Patient states no middle name QNguyen 01/19/2016</t>
  </si>
  <si>
    <t>RED DONOR H&amp;P UPDATE</t>
  </si>
  <si>
    <t>SCCA RED TEAM, SCCA TRANSPLANT CLINIC</t>
  </si>
  <si>
    <t>Dong</t>
  </si>
  <si>
    <t>Yongqin</t>
  </si>
  <si>
    <t>U4181884</t>
  </si>
  <si>
    <t>Ruan</t>
  </si>
  <si>
    <t>Jocelyn</t>
  </si>
  <si>
    <t>U5759042</t>
  </si>
  <si>
    <t>SCCA, Signed consent for Nujharch (Hanna) to receive medical info. 4-15-15 lk.</t>
  </si>
  <si>
    <t>Abelda</t>
  </si>
  <si>
    <t>Marites</t>
  </si>
  <si>
    <t>U4197005</t>
  </si>
  <si>
    <t>SCCA AQUA TEAM</t>
  </si>
  <si>
    <t xml:space="preserve">PHARMACY CHEMO TEACH C   </t>
  </si>
  <si>
    <t>SCCA TRIAGE</t>
  </si>
  <si>
    <t>Laureano</t>
  </si>
  <si>
    <t>Irma</t>
  </si>
  <si>
    <t>U3978807</t>
  </si>
  <si>
    <t>Hui</t>
  </si>
  <si>
    <t>U3564634</t>
  </si>
  <si>
    <t>Lustyuk</t>
  </si>
  <si>
    <t>Nadezhda</t>
  </si>
  <si>
    <t>U4094644</t>
  </si>
  <si>
    <t>BLOOD DRAW PORT INFUSION</t>
  </si>
  <si>
    <t>SCCA THORACIC HEAD AND NECK, SCCA GENERAL ONCOLOGY, SCCA THORACIC HEAD AND NECK</t>
  </si>
  <si>
    <t>Leonor Vivas</t>
  </si>
  <si>
    <t>CCR: Patient daughter state No Middle Name. 07/13/2016 KTzeng.
Request interpreter Shu Hua Huang at SCCA 07/2016
ROI Disclosure:Shannie Shi Daughter 08/09/16 UWNC OCK</t>
  </si>
  <si>
    <t>DABESTANI, PARINAZ JILA [EUID5035924]</t>
  </si>
  <si>
    <t>CANT OK</t>
  </si>
  <si>
    <t xml:space="preserve">SCCA LAB - Use steri-strips and biopatch for port - 4/2/14 - rgutierr []  ***PUMP COMPANY INFUSYSTEM***jc_March 2014                                         UWMC: patient speaks both Mandarin and Cantonese jef Sept 2014       
      </t>
  </si>
  <si>
    <t>ATEZOLIZUMAB</t>
  </si>
  <si>
    <t>Scheduling/ Clinic Error
Scheduling/ Clinic Error
Scheduling/ Clinic Error
Scheduling/ Clinic Error</t>
  </si>
  <si>
    <t>Shipley, Allison Ann [EUID5041074]</t>
  </si>
  <si>
    <t>MATA</t>
  </si>
  <si>
    <t>LEWINA GONZALES</t>
  </si>
  <si>
    <t>U4092405</t>
  </si>
  <si>
    <t>SCCA ENDOCRINOLOGY 3</t>
  </si>
  <si>
    <t>ORANGE LUMBAR PUNCTURE</t>
  </si>
  <si>
    <t>SCCA VIOLET TEAM, SCCA ORANGE TEAM, SCCA TRANSPLANT CLINIC, SCCA TRANSPLANT CLINIC</t>
  </si>
  <si>
    <t>RED DONOR G-CLINIC</t>
  </si>
  <si>
    <t>SO, SAN KWOK [EUID5025223]</t>
  </si>
  <si>
    <t>Shuang</t>
  </si>
  <si>
    <t>Toisanese</t>
  </si>
  <si>
    <t>U3593863</t>
  </si>
  <si>
    <t>UWMC, patient doesn't speak English, per patient, it's okay to speak with Leon Hung (son-in-law, CELL: 206-883-3327) speaks English, and Shu Hung (daughter, WORK CELL: 206-223-6127) speaks Toisanese / Cantonese, about scheduling / appointments / medical
information verbal per patient by interpreter, 5-08-14, mpadilla.  Patient prefers interpreter Kam Ling Leung/AOL.  8/26/14 eguerra</t>
  </si>
  <si>
    <t>Dominguez</t>
  </si>
  <si>
    <t>U3683381</t>
  </si>
  <si>
    <t>NEW CLINIC-ANTICOAG PHARMACIST</t>
  </si>
  <si>
    <t>SCCA ANTI COAGULATION CLINIC, SCCA GENERAL ONCOLOGY</t>
  </si>
  <si>
    <t>Chiou</t>
  </si>
  <si>
    <t>U4234193</t>
  </si>
  <si>
    <t>Tai</t>
  </si>
  <si>
    <t>U4155158</t>
  </si>
  <si>
    <t>Kiyogo</t>
  </si>
  <si>
    <t>U2626762</t>
  </si>
  <si>
    <t>Morozovna</t>
  </si>
  <si>
    <t>Irina Mikhaylovna</t>
  </si>
  <si>
    <t>U4206131</t>
  </si>
  <si>
    <t>Ushmaeva</t>
  </si>
  <si>
    <t>Liudmila</t>
  </si>
  <si>
    <t>U3547181</t>
  </si>
  <si>
    <t>PT PREFERS KARINA FOR INTERPRETER.</t>
  </si>
  <si>
    <t>Ryzhkova</t>
  </si>
  <si>
    <t>U2424209</t>
  </si>
  <si>
    <t>Emily</t>
  </si>
  <si>
    <t>U4236879</t>
  </si>
  <si>
    <t>Calderon</t>
  </si>
  <si>
    <t>Mercedes</t>
  </si>
  <si>
    <t>U3991649</t>
  </si>
  <si>
    <t>Ghidey</t>
  </si>
  <si>
    <t>Amaresh</t>
  </si>
  <si>
    <t>U3202369</t>
  </si>
  <si>
    <t>RYDER, MARISSA A [EUID5025221]</t>
  </si>
  <si>
    <t>CC9297 BURIXAFOR SUB</t>
  </si>
  <si>
    <t>Patient prefers E-mail.
prefers afternoon 1pm or later</t>
  </si>
  <si>
    <t>SCCA ENT ONCOLOGY</t>
  </si>
  <si>
    <t>SCCA ENT ONCOLOGY, SCCA ENT ONCOLOGY</t>
  </si>
  <si>
    <t>Kija</t>
  </si>
  <si>
    <t>U2375548</t>
  </si>
  <si>
    <t>UWPN-LifeWise. Prefers translator William Pak // No interp for Romiplostin appts, only for physician visits</t>
  </si>
  <si>
    <t>Yoon</t>
  </si>
  <si>
    <t>Sang</t>
  </si>
  <si>
    <t>U3755842</t>
  </si>
  <si>
    <t>PEDS LTFU NUTRITION VISIT</t>
  </si>
  <si>
    <t>Please schedule an in-person interpreter for Labs. EG/SCCA 11/4/2015.</t>
  </si>
  <si>
    <t>Pena Cepetillo</t>
  </si>
  <si>
    <t>U3179473</t>
  </si>
  <si>
    <t>Moro Gonzales</t>
  </si>
  <si>
    <t>U3515534</t>
  </si>
  <si>
    <t>**FEMALE INTERPRETER ONLY for all visits. NO MALE interpreters**- CP 6/25/15</t>
  </si>
  <si>
    <t>Adding/ Removing Provider
Adding/ Removing Provider
Other patient needs
Other patient needs</t>
  </si>
  <si>
    <t>CC9383 MK3475  SUB</t>
  </si>
  <si>
    <t>Guitron</t>
  </si>
  <si>
    <t>Maricela</t>
  </si>
  <si>
    <t>U2536405</t>
  </si>
  <si>
    <t>NO MIDDLE NAME</t>
  </si>
  <si>
    <t>Pawinder</t>
  </si>
  <si>
    <t>U4127242</t>
  </si>
  <si>
    <t>***PUMP COMPANY INFUSYSTEM. Same day labs ok.***pl_may2016.  Patient prefers interp Nabeela Semuel/ULS.  EG/SCCA/08.09.16
**Pt. does not have middle name**jp,RadOnc,10/3/16</t>
  </si>
  <si>
    <t>DNC</t>
  </si>
  <si>
    <t>RETURN INF 30</t>
  </si>
  <si>
    <t>Hattori</t>
  </si>
  <si>
    <t>Shogo</t>
  </si>
  <si>
    <t>U4239303</t>
  </si>
  <si>
    <t>LUKER, NANCY C [EUID5039743]</t>
  </si>
  <si>
    <t>PATRICIA</t>
  </si>
  <si>
    <t>DUARTE</t>
  </si>
  <si>
    <t>ABIDAN</t>
  </si>
  <si>
    <t>U2420447</t>
  </si>
  <si>
    <t>NUTRITION 2-30 MINUTE</t>
  </si>
  <si>
    <t>SCCA TRANSPLANT CLINIC, SCCA PEDS CONTINUING CARE, SCCA TRANSPLANT CLINIC</t>
  </si>
  <si>
    <t>CSN</t>
  </si>
  <si>
    <t>Appt Audit Trail Action</t>
  </si>
  <si>
    <t>Appt Audit Trail Instant</t>
  </si>
  <si>
    <t>S Start</t>
  </si>
  <si>
    <t>S End</t>
  </si>
  <si>
    <t>S Min</t>
  </si>
  <si>
    <t>A Start</t>
  </si>
  <si>
    <t>A End</t>
  </si>
  <si>
    <t>A Min</t>
  </si>
  <si>
    <t>Units</t>
  </si>
  <si>
    <t>InterpRate</t>
  </si>
  <si>
    <t>SCCARate</t>
  </si>
  <si>
    <t>InterpTotal</t>
  </si>
  <si>
    <t>SCCATotal</t>
  </si>
  <si>
    <t>Type of Pay</t>
  </si>
  <si>
    <t>Arrival Time</t>
  </si>
  <si>
    <t>MIN2</t>
  </si>
  <si>
    <t>WT, WT</t>
  </si>
  <si>
    <t>OVERLAP, WT, OVERLAP, WT</t>
  </si>
  <si>
    <t>OVERLAP, OVERLAP</t>
  </si>
  <si>
    <t xml:space="preserve"> </t>
  </si>
  <si>
    <t>WT_S, WT_A</t>
  </si>
  <si>
    <t>OVERLAP_S, OVERLAP_A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</si>
</sst>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[$-409]h:mm\ AM/PM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0" xfId="0" applyFont="1" applyFill="1" applyAlignment="1"/>
    <xf numFmtId="0" fontId="0" fillId="0" borderId="0" xfId="0" applyFill="1" applyBorder="1" applyAlignment="1"/>
    <xf numFmtId="0" fontId="3" fillId="0" borderId="0" xfId="0" applyFont="1" applyFill="1" applyBorder="1" applyAlignment="1"/>
    <xf numFmtId="0" fontId="0" fillId="0" borderId="0" xfId="0" applyFill="1" applyAlignment="1"/>
    <xf numFmtId="14" fontId="0" fillId="0" borderId="0" xfId="0" applyNumberFormat="1" applyFill="1" applyAlignment="1"/>
    <xf numFmtId="0" fontId="4" fillId="0" borderId="0" xfId="0" applyFont="1" applyFill="1" applyAlignment="1"/>
    <xf numFmtId="0" fontId="2" fillId="0" borderId="0" xfId="0" applyFont="1" applyFill="1" applyBorder="1"/>
    <xf numFmtId="0" fontId="2" fillId="0" borderId="0" xfId="0" applyFont="1" applyFill="1" applyBorder="1" applyAlignment="1"/>
    <xf numFmtId="0" fontId="0" fillId="0" borderId="0" xfId="0" applyFill="1"/>
    <xf numFmtId="0" fontId="3" fillId="0" borderId="0" xfId="0" applyFont="1" applyFill="1" applyAlignment="1"/>
    <xf numFmtId="0" fontId="3" fillId="0" borderId="0" xfId="0" applyFont="1" applyFill="1"/>
    <xf numFmtId="22" fontId="0" fillId="0" borderId="0" xfId="0" applyNumberFormat="1" applyFill="1" applyAlignment="1"/>
    <xf numFmtId="0" fontId="5" fillId="0" borderId="0" xfId="0" applyFont="1" applyFill="1" applyBorder="1" applyAlignment="1"/>
    <xf numFmtId="0" fontId="6" fillId="0" borderId="0" xfId="0" applyFont="1" applyFill="1" applyAlignment="1"/>
    <xf numFmtId="0" fontId="7" fillId="0" borderId="0" xfId="0" applyFont="1" applyFill="1" applyAlignment="1"/>
    <xf numFmtId="0" fontId="1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/>
    <xf numFmtId="14" fontId="0" fillId="0" borderId="0" xfId="0" applyNumberFormat="1" applyFill="1"/>
    <xf numFmtId="0" fontId="2" fillId="0" borderId="0" xfId="0" applyFont="1" applyFill="1" applyAlignment="1"/>
    <xf numFmtId="0" fontId="0" fillId="0" borderId="0" xfId="0" applyFont="1" applyFill="1" applyAlignment="1"/>
    <xf numFmtId="0" fontId="1" fillId="0" borderId="0" xfId="0" applyFont="1" applyFill="1" applyAlignment="1"/>
    <xf numFmtId="0" fontId="8" fillId="0" borderId="0" xfId="0" applyFont="1" applyFill="1" applyAlignment="1"/>
    <xf numFmtId="164" fontId="4" fillId="0" borderId="0" xfId="0" applyNumberFormat="1" applyFont="1" applyFill="1" applyAlignment="1"/>
    <xf numFmtId="164" fontId="0" fillId="0" borderId="0" xfId="0" applyNumberFormat="1" applyFill="1" applyAlignment="1"/>
    <xf numFmtId="0" fontId="5" fillId="0" borderId="0" xfId="0" applyFont="1" applyFill="1"/>
    <xf numFmtId="164" fontId="0" fillId="0" borderId="0" xfId="0" applyNumberFormat="1" applyFont="1" applyFill="1" applyAlignment="1"/>
    <xf numFmtId="0" fontId="0" fillId="0" borderId="0" xfId="0" applyBorder="1"/>
    <xf numFmtId="164" fontId="0" fillId="0" borderId="0" xfId="0" applyNumberFormat="1" applyFill="1"/>
    <xf numFmtId="0" fontId="2" fillId="0" borderId="0" xfId="0" applyFont="1" applyFill="1"/>
    <xf numFmtId="0" fontId="1" fillId="0" borderId="0" xfId="0" applyFont="1" applyFill="1" applyBorder="1"/>
    <xf numFmtId="0" fontId="5" fillId="0" borderId="0" xfId="0" applyFont="1" applyFill="1" applyAlignment="1"/>
    <xf numFmtId="0" fontId="1" fillId="0" borderId="0" xfId="0" applyFont="1" applyFill="1"/>
    <xf numFmtId="14" fontId="0" fillId="0" borderId="0" xfId="0" applyNumberFormat="1" applyFont="1" applyFill="1" applyAlignment="1"/>
    <xf numFmtId="22" fontId="0" fillId="0" borderId="0" xfId="0" applyNumberFormat="1" applyFont="1" applyFill="1" applyAlignment="1"/>
    <xf numFmtId="0" fontId="1" fillId="3" borderId="0" xfId="0" applyFont="1" applyFill="1" applyAlignment="1"/>
    <xf numFmtId="0" fontId="2" fillId="3" borderId="0" xfId="0" applyFont="1" applyFill="1" applyAlignment="1"/>
    <xf numFmtId="164" fontId="2" fillId="3" borderId="0" xfId="0" applyNumberFormat="1" applyFont="1" applyFill="1" applyAlignment="1"/>
    <xf numFmtId="0" fontId="1" fillId="3" borderId="0" xfId="0" applyFont="1" applyFill="1"/>
    <xf numFmtId="0" fontId="2" fillId="4" borderId="0" xfId="0" applyFont="1" applyFill="1" applyAlignment="1"/>
    <xf numFmtId="0" fontId="2" fillId="3" borderId="0" xfId="0" applyFont="1" applyFill="1" applyAlignment="1">
      <alignment horizontal="left"/>
    </xf>
    <xf numFmtId="18" fontId="2" fillId="3" borderId="0" xfId="0" applyNumberFormat="1" applyFont="1" applyFill="1" applyAlignment="1"/>
    <xf numFmtId="18" fontId="0" fillId="0" borderId="0" xfId="0" applyNumberFormat="1" applyFill="1" applyAlignment="1"/>
    <xf numFmtId="18" fontId="0" fillId="0" borderId="0" xfId="0" applyNumberFormat="1" applyFill="1"/>
    <xf numFmtId="18" fontId="4" fillId="0" borderId="0" xfId="0" applyNumberFormat="1" applyFont="1" applyFill="1" applyAlignment="1"/>
    <xf numFmtId="18" fontId="0" fillId="0" borderId="0" xfId="0" applyNumberFormat="1" applyFont="1" applyFill="1" applyAlignment="1"/>
    <xf numFmtId="18" fontId="0" fillId="0" borderId="0" xfId="0" applyNumberFormat="1"/>
    <xf numFmtId="7" fontId="0" fillId="0" borderId="0" xfId="0" applyNumberFormat="1" applyFill="1" applyAlignment="1"/>
    <xf numFmtId="7" fontId="0" fillId="0" borderId="0" xfId="0" applyNumberFormat="1" applyFill="1"/>
    <xf numFmtId="0" fontId="11" fillId="0" borderId="0" xfId="0" applyFont="1" applyFill="1" applyAlignment="1"/>
    <xf numFmtId="7" fontId="0" fillId="0" borderId="0" xfId="0" applyNumberFormat="1" applyFont="1" applyFill="1" applyAlignment="1"/>
    <xf numFmtId="18" fontId="12" fillId="0" borderId="0" xfId="0" applyNumberFormat="1" applyFont="1" applyFill="1" applyAlignment="1"/>
    <xf numFmtId="0" fontId="13" fillId="0" borderId="0" xfId="0" applyFont="1" applyFill="1" applyAlignment="1"/>
    <xf numFmtId="18" fontId="12" fillId="0" borderId="0" xfId="0" applyNumberFormat="1" applyFont="1" applyFill="1"/>
    <xf numFmtId="0" fontId="13" fillId="0" borderId="0" xfId="0" applyFont="1" applyFill="1"/>
    <xf numFmtId="18" fontId="11" fillId="0" borderId="0" xfId="0" applyNumberFormat="1" applyFont="1" applyFill="1" applyAlignment="1"/>
    <xf numFmtId="0" fontId="11" fillId="0" borderId="0" xfId="0" applyFont="1" applyFill="1"/>
    <xf numFmtId="18" fontId="11" fillId="0" borderId="0" xfId="0" applyNumberFormat="1" applyFont="1" applyFill="1"/>
    <xf numFmtId="0" fontId="14" fillId="0" borderId="0" xfId="0" applyFont="1" applyFill="1" applyAlignment="1"/>
    <xf numFmtId="0" fontId="14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Z304"/>
  <sheetViews>
    <sheetView workbookViewId="0">
      <selection sqref="A1:XFD1"/>
    </sheetView>
  </sheetViews>
  <sheetFormatPr defaultColWidth="8.81640625" defaultRowHeight="14.5" x14ac:dyDescent="0.35"/>
  <cols>
    <col min="8" max="8" width="11.453125" customWidth="1"/>
    <col min="14" max="14" width="12.453125" customWidth="1"/>
    <col min="16" max="16" width="20.1796875" customWidth="1"/>
  </cols>
  <sheetData>
    <row r="1" spans="1:26" s="39" customFormat="1" x14ac:dyDescent="0.35">
      <c r="A1" s="36" t="s">
        <v>0</v>
      </c>
      <c r="B1" s="37" t="s">
        <v>1</v>
      </c>
      <c r="C1" s="37" t="s">
        <v>2</v>
      </c>
      <c r="D1" s="37" t="s">
        <v>3</v>
      </c>
      <c r="E1" s="37" t="s">
        <v>4</v>
      </c>
      <c r="F1" s="37" t="s">
        <v>5</v>
      </c>
      <c r="G1" s="37" t="s">
        <v>6</v>
      </c>
      <c r="H1" s="37" t="s">
        <v>7</v>
      </c>
      <c r="I1" s="38" t="s">
        <v>8</v>
      </c>
      <c r="J1" s="38" t="s">
        <v>9</v>
      </c>
      <c r="K1" s="37" t="s">
        <v>10</v>
      </c>
      <c r="L1" s="37" t="s">
        <v>11</v>
      </c>
      <c r="M1" s="37" t="s">
        <v>12</v>
      </c>
      <c r="N1" s="37" t="s">
        <v>792</v>
      </c>
      <c r="O1" s="36" t="s">
        <v>793</v>
      </c>
      <c r="P1" s="36" t="s">
        <v>794</v>
      </c>
      <c r="Q1" s="1" t="s">
        <v>13</v>
      </c>
      <c r="R1" s="36" t="s">
        <v>11</v>
      </c>
      <c r="S1" s="36" t="s">
        <v>14</v>
      </c>
      <c r="T1" s="36" t="s">
        <v>15</v>
      </c>
      <c r="U1" s="36" t="s">
        <v>16</v>
      </c>
      <c r="V1" s="36" t="s">
        <v>17</v>
      </c>
      <c r="W1" s="36" t="s">
        <v>18</v>
      </c>
      <c r="X1" s="36" t="s">
        <v>19</v>
      </c>
      <c r="Y1" s="36" t="s">
        <v>20</v>
      </c>
      <c r="Z1" s="36" t="s">
        <v>21</v>
      </c>
    </row>
    <row r="2" spans="1:26" hidden="1" x14ac:dyDescent="0.35">
      <c r="A2" s="2"/>
      <c r="B2" s="3" t="s">
        <v>22</v>
      </c>
      <c r="C2" s="4" t="s">
        <v>23</v>
      </c>
      <c r="D2" s="4" t="s">
        <v>480</v>
      </c>
      <c r="E2" s="4" t="s">
        <v>481</v>
      </c>
      <c r="F2" s="4" t="s">
        <v>24</v>
      </c>
      <c r="G2" s="4" t="s">
        <v>482</v>
      </c>
      <c r="H2" s="5">
        <v>42668</v>
      </c>
      <c r="I2" s="24">
        <v>0.29166666666666669</v>
      </c>
      <c r="J2" s="25">
        <v>0.30208333333333337</v>
      </c>
      <c r="K2" s="4">
        <v>15</v>
      </c>
      <c r="L2" s="6" t="s">
        <v>25</v>
      </c>
      <c r="M2" s="4" t="s">
        <v>25</v>
      </c>
      <c r="N2" s="4">
        <v>1809603260</v>
      </c>
      <c r="O2" s="4" t="s">
        <v>96</v>
      </c>
      <c r="P2" s="12">
        <v>42647.587384259263</v>
      </c>
      <c r="Q2" s="4" t="s">
        <v>483</v>
      </c>
      <c r="R2" s="4" t="s">
        <v>25</v>
      </c>
      <c r="S2" s="4"/>
      <c r="T2" s="5">
        <v>42647</v>
      </c>
      <c r="U2" s="4" t="s">
        <v>189</v>
      </c>
      <c r="V2" s="4"/>
      <c r="W2" s="4"/>
      <c r="X2" s="4"/>
      <c r="Y2" s="4"/>
      <c r="Z2" s="4"/>
    </row>
    <row r="3" spans="1:26" hidden="1" x14ac:dyDescent="0.35">
      <c r="A3" s="2"/>
      <c r="B3" s="3" t="s">
        <v>22</v>
      </c>
      <c r="C3" s="4" t="s">
        <v>23</v>
      </c>
      <c r="D3" s="4" t="s">
        <v>484</v>
      </c>
      <c r="E3" s="4" t="s">
        <v>350</v>
      </c>
      <c r="F3" s="4" t="s">
        <v>162</v>
      </c>
      <c r="G3" s="4" t="s">
        <v>485</v>
      </c>
      <c r="H3" s="5">
        <v>42668</v>
      </c>
      <c r="I3" s="24">
        <v>0.3125</v>
      </c>
      <c r="J3" s="25">
        <v>0.32291666666666669</v>
      </c>
      <c r="K3" s="4">
        <v>15</v>
      </c>
      <c r="L3" s="6" t="s">
        <v>25</v>
      </c>
      <c r="M3" s="4" t="s">
        <v>25</v>
      </c>
      <c r="N3" s="4">
        <v>1809176291</v>
      </c>
      <c r="O3" s="4" t="s">
        <v>44</v>
      </c>
      <c r="P3" s="12">
        <v>42633.673379629632</v>
      </c>
      <c r="Q3" s="4"/>
      <c r="R3" s="4" t="s">
        <v>25</v>
      </c>
      <c r="S3" s="4"/>
      <c r="T3" s="5">
        <v>42633</v>
      </c>
      <c r="U3" s="4" t="s">
        <v>377</v>
      </c>
      <c r="V3" s="4"/>
      <c r="W3" s="4"/>
      <c r="X3" s="4"/>
      <c r="Y3" s="4"/>
      <c r="Z3" s="4"/>
    </row>
    <row r="4" spans="1:26" hidden="1" x14ac:dyDescent="0.35">
      <c r="A4" s="9"/>
      <c r="B4" s="3" t="s">
        <v>22</v>
      </c>
      <c r="C4" s="4" t="s">
        <v>23</v>
      </c>
      <c r="D4" s="4" t="s">
        <v>445</v>
      </c>
      <c r="E4" s="4" t="s">
        <v>185</v>
      </c>
      <c r="F4" s="4" t="s">
        <v>24</v>
      </c>
      <c r="G4" s="4" t="s">
        <v>446</v>
      </c>
      <c r="H4" s="5">
        <v>42668</v>
      </c>
      <c r="I4" s="25">
        <v>0.32291666666666669</v>
      </c>
      <c r="J4" s="25">
        <v>0.33333333333333337</v>
      </c>
      <c r="K4" s="4">
        <v>15</v>
      </c>
      <c r="L4" s="4" t="s">
        <v>25</v>
      </c>
      <c r="M4" s="4" t="s">
        <v>486</v>
      </c>
      <c r="N4" s="4">
        <v>1810179891</v>
      </c>
      <c r="O4" s="4" t="s">
        <v>44</v>
      </c>
      <c r="P4" s="12">
        <v>42664.517407407409</v>
      </c>
      <c r="Q4" s="4"/>
      <c r="R4" s="4" t="s">
        <v>25</v>
      </c>
      <c r="S4" s="4"/>
      <c r="T4" s="5">
        <v>42664</v>
      </c>
      <c r="U4" s="4" t="s">
        <v>487</v>
      </c>
      <c r="V4" s="4"/>
      <c r="W4" s="4"/>
      <c r="X4" s="4"/>
      <c r="Y4" s="4"/>
      <c r="Z4" s="4"/>
    </row>
    <row r="5" spans="1:26" hidden="1" x14ac:dyDescent="0.35">
      <c r="A5" s="16"/>
      <c r="B5" s="32" t="s">
        <v>52</v>
      </c>
      <c r="C5" s="4" t="s">
        <v>23</v>
      </c>
      <c r="D5" s="4" t="s">
        <v>488</v>
      </c>
      <c r="E5" s="4" t="s">
        <v>489</v>
      </c>
      <c r="F5" s="4" t="s">
        <v>490</v>
      </c>
      <c r="G5" s="4" t="s">
        <v>491</v>
      </c>
      <c r="H5" s="5">
        <v>42668</v>
      </c>
      <c r="I5" s="24">
        <v>0.33333333333333331</v>
      </c>
      <c r="J5" s="25">
        <v>0.35416666666666663</v>
      </c>
      <c r="K5" s="4">
        <v>30</v>
      </c>
      <c r="L5" s="6" t="s">
        <v>179</v>
      </c>
      <c r="M5" s="4" t="s">
        <v>50</v>
      </c>
      <c r="N5" s="4">
        <v>1809860359</v>
      </c>
      <c r="O5" s="4" t="s">
        <v>44</v>
      </c>
      <c r="P5" s="12">
        <v>42655.377060185187</v>
      </c>
      <c r="Q5" s="4" t="s">
        <v>492</v>
      </c>
      <c r="R5" s="4" t="s">
        <v>202</v>
      </c>
      <c r="S5" s="4"/>
      <c r="T5" s="5">
        <v>42655</v>
      </c>
      <c r="U5" s="4" t="s">
        <v>401</v>
      </c>
      <c r="V5" s="4"/>
      <c r="W5" s="4"/>
      <c r="X5" s="4"/>
      <c r="Y5" s="4"/>
      <c r="Z5" s="4"/>
    </row>
    <row r="6" spans="1:26" x14ac:dyDescent="0.35">
      <c r="A6" s="2"/>
      <c r="B6" s="8" t="s">
        <v>78</v>
      </c>
      <c r="C6" s="4" t="s">
        <v>23</v>
      </c>
      <c r="D6" s="4" t="s">
        <v>480</v>
      </c>
      <c r="E6" s="4" t="s">
        <v>481</v>
      </c>
      <c r="F6" s="4" t="s">
        <v>24</v>
      </c>
      <c r="G6" s="4" t="s">
        <v>482</v>
      </c>
      <c r="H6" s="5">
        <v>42668</v>
      </c>
      <c r="I6" s="24">
        <v>0.33333333333333331</v>
      </c>
      <c r="J6" s="25">
        <v>0.35416666666666663</v>
      </c>
      <c r="K6" s="4">
        <v>30</v>
      </c>
      <c r="L6" s="6" t="s">
        <v>179</v>
      </c>
      <c r="M6" s="4" t="s">
        <v>50</v>
      </c>
      <c r="N6" s="4">
        <v>1809603261</v>
      </c>
      <c r="O6" s="4" t="s">
        <v>96</v>
      </c>
      <c r="P6" s="12">
        <v>42647.587384259263</v>
      </c>
      <c r="Q6" s="4" t="s">
        <v>483</v>
      </c>
      <c r="R6" s="4" t="s">
        <v>202</v>
      </c>
      <c r="S6" s="4"/>
      <c r="T6" s="5">
        <v>42647</v>
      </c>
      <c r="U6" s="4" t="s">
        <v>189</v>
      </c>
      <c r="V6" s="4"/>
      <c r="W6" s="4"/>
      <c r="X6" s="4"/>
      <c r="Y6" s="4"/>
      <c r="Z6" s="4"/>
    </row>
    <row r="7" spans="1:26" hidden="1" x14ac:dyDescent="0.35">
      <c r="A7" s="9"/>
      <c r="B7" s="3" t="s">
        <v>22</v>
      </c>
      <c r="C7" s="4" t="s">
        <v>23</v>
      </c>
      <c r="D7" s="4" t="s">
        <v>64</v>
      </c>
      <c r="E7" s="4" t="s">
        <v>65</v>
      </c>
      <c r="F7" s="4" t="s">
        <v>24</v>
      </c>
      <c r="G7" s="4" t="s">
        <v>66</v>
      </c>
      <c r="H7" s="5">
        <v>42668</v>
      </c>
      <c r="I7" s="25">
        <v>0.35416666666666669</v>
      </c>
      <c r="J7" s="25">
        <v>0.36458333333333337</v>
      </c>
      <c r="K7" s="4">
        <v>15</v>
      </c>
      <c r="L7" s="4" t="s">
        <v>25</v>
      </c>
      <c r="M7" s="4" t="s">
        <v>67</v>
      </c>
      <c r="N7" s="4">
        <v>1810256546</v>
      </c>
      <c r="O7" s="4" t="s">
        <v>44</v>
      </c>
      <c r="P7" s="12">
        <v>42667.72146990741</v>
      </c>
      <c r="Q7" s="4" t="s">
        <v>68</v>
      </c>
      <c r="R7" s="4" t="s">
        <v>25</v>
      </c>
      <c r="S7" s="4"/>
      <c r="T7" s="5">
        <v>42667</v>
      </c>
      <c r="U7" s="4" t="s">
        <v>128</v>
      </c>
      <c r="V7" s="4"/>
      <c r="W7" s="4"/>
      <c r="X7" s="4"/>
      <c r="Y7" s="4"/>
      <c r="Z7" s="4"/>
    </row>
    <row r="8" spans="1:26" x14ac:dyDescent="0.35">
      <c r="A8" s="2"/>
      <c r="B8" s="8" t="s">
        <v>161</v>
      </c>
      <c r="C8" s="4" t="s">
        <v>23</v>
      </c>
      <c r="D8" s="4" t="s">
        <v>484</v>
      </c>
      <c r="E8" s="4" t="s">
        <v>350</v>
      </c>
      <c r="F8" s="4" t="s">
        <v>162</v>
      </c>
      <c r="G8" s="4" t="s">
        <v>485</v>
      </c>
      <c r="H8" s="5">
        <v>42668</v>
      </c>
      <c r="I8" s="24">
        <v>0.35416666666666669</v>
      </c>
      <c r="J8" s="25">
        <v>0.375</v>
      </c>
      <c r="K8" s="4">
        <v>30</v>
      </c>
      <c r="L8" s="6" t="s">
        <v>49</v>
      </c>
      <c r="M8" s="4" t="s">
        <v>50</v>
      </c>
      <c r="N8" s="4">
        <v>1809176441</v>
      </c>
      <c r="O8" s="4" t="s">
        <v>96</v>
      </c>
      <c r="P8" s="12">
        <v>42633.674907407411</v>
      </c>
      <c r="Q8" s="4"/>
      <c r="R8" s="4" t="s">
        <v>165</v>
      </c>
      <c r="S8" s="4"/>
      <c r="T8" s="5">
        <v>42633</v>
      </c>
      <c r="U8" s="4" t="s">
        <v>377</v>
      </c>
      <c r="V8" s="4"/>
      <c r="W8" s="4"/>
      <c r="X8" s="4"/>
      <c r="Y8" s="4"/>
      <c r="Z8" s="4"/>
    </row>
    <row r="9" spans="1:26" x14ac:dyDescent="0.35">
      <c r="A9" s="9"/>
      <c r="B9" s="8" t="s">
        <v>57</v>
      </c>
      <c r="C9" s="4" t="s">
        <v>23</v>
      </c>
      <c r="D9" s="4" t="s">
        <v>445</v>
      </c>
      <c r="E9" s="4" t="s">
        <v>185</v>
      </c>
      <c r="F9" s="4" t="s">
        <v>24</v>
      </c>
      <c r="G9" s="4" t="s">
        <v>446</v>
      </c>
      <c r="H9" s="5">
        <v>42668</v>
      </c>
      <c r="I9" s="25">
        <v>0.36458333333333331</v>
      </c>
      <c r="J9" s="25">
        <v>0.375</v>
      </c>
      <c r="K9" s="4">
        <v>15</v>
      </c>
      <c r="L9" s="4" t="s">
        <v>167</v>
      </c>
      <c r="M9" s="4" t="s">
        <v>252</v>
      </c>
      <c r="N9" s="4">
        <v>1810179837</v>
      </c>
      <c r="O9" s="4" t="s">
        <v>44</v>
      </c>
      <c r="P9" s="12">
        <v>42664.516770833332</v>
      </c>
      <c r="Q9" s="4"/>
      <c r="R9" s="4" t="s">
        <v>167</v>
      </c>
      <c r="S9" s="4"/>
      <c r="T9" s="5">
        <v>42664</v>
      </c>
      <c r="U9" s="4" t="s">
        <v>263</v>
      </c>
      <c r="V9" s="4"/>
      <c r="W9" s="4"/>
      <c r="X9" s="4"/>
      <c r="Y9" s="4"/>
      <c r="Z9" s="4"/>
    </row>
    <row r="10" spans="1:26" x14ac:dyDescent="0.35">
      <c r="A10" s="2"/>
      <c r="B10" s="8" t="s">
        <v>78</v>
      </c>
      <c r="C10" s="4" t="s">
        <v>23</v>
      </c>
      <c r="D10" s="4" t="s">
        <v>435</v>
      </c>
      <c r="E10" s="4" t="s">
        <v>436</v>
      </c>
      <c r="F10" s="4" t="s">
        <v>24</v>
      </c>
      <c r="G10" s="4" t="s">
        <v>437</v>
      </c>
      <c r="H10" s="5">
        <v>42668</v>
      </c>
      <c r="I10" s="24">
        <v>0.36458333333333331</v>
      </c>
      <c r="J10" s="25">
        <v>0.375</v>
      </c>
      <c r="K10" s="4">
        <v>15</v>
      </c>
      <c r="L10" s="6" t="s">
        <v>115</v>
      </c>
      <c r="M10" s="4" t="s">
        <v>241</v>
      </c>
      <c r="N10" s="4">
        <v>1809717165</v>
      </c>
      <c r="O10" s="4" t="s">
        <v>44</v>
      </c>
      <c r="P10" s="12">
        <v>42650.39707175926</v>
      </c>
      <c r="Q10" s="4" t="s">
        <v>438</v>
      </c>
      <c r="R10" s="4" t="s">
        <v>115</v>
      </c>
      <c r="S10" s="4"/>
      <c r="T10" s="5">
        <v>42650</v>
      </c>
      <c r="U10" s="4" t="s">
        <v>493</v>
      </c>
      <c r="V10" s="4"/>
      <c r="W10" s="4"/>
      <c r="X10" s="4"/>
      <c r="Y10" s="4"/>
      <c r="Z10" s="4"/>
    </row>
    <row r="11" spans="1:26" x14ac:dyDescent="0.35">
      <c r="A11" s="9"/>
      <c r="B11" s="8" t="s">
        <v>57</v>
      </c>
      <c r="C11" s="4" t="s">
        <v>23</v>
      </c>
      <c r="D11" s="4" t="s">
        <v>445</v>
      </c>
      <c r="E11" s="4" t="s">
        <v>185</v>
      </c>
      <c r="F11" s="4" t="s">
        <v>24</v>
      </c>
      <c r="G11" s="4" t="s">
        <v>446</v>
      </c>
      <c r="H11" s="5">
        <v>42668</v>
      </c>
      <c r="I11" s="25">
        <v>0.375</v>
      </c>
      <c r="J11" s="25">
        <v>0.41666666666666669</v>
      </c>
      <c r="K11" s="4">
        <v>60</v>
      </c>
      <c r="L11" s="4" t="s">
        <v>167</v>
      </c>
      <c r="M11" s="4" t="s">
        <v>256</v>
      </c>
      <c r="N11" s="4">
        <v>1810179836</v>
      </c>
      <c r="O11" s="4" t="s">
        <v>44</v>
      </c>
      <c r="P11" s="12">
        <v>42664.516770833332</v>
      </c>
      <c r="Q11" s="4"/>
      <c r="R11" s="4" t="s">
        <v>257</v>
      </c>
      <c r="S11" s="4"/>
      <c r="T11" s="5">
        <v>42664</v>
      </c>
      <c r="U11" s="4" t="s">
        <v>263</v>
      </c>
      <c r="V11" s="4"/>
      <c r="W11" s="4"/>
      <c r="X11" s="4"/>
      <c r="Y11" s="4"/>
      <c r="Z11" s="4"/>
    </row>
    <row r="12" spans="1:26" x14ac:dyDescent="0.35">
      <c r="A12" s="2"/>
      <c r="B12" s="8" t="s">
        <v>235</v>
      </c>
      <c r="C12" s="4" t="s">
        <v>23</v>
      </c>
      <c r="D12" s="4" t="s">
        <v>494</v>
      </c>
      <c r="E12" s="4" t="s">
        <v>495</v>
      </c>
      <c r="F12" s="4" t="s">
        <v>24</v>
      </c>
      <c r="G12" s="4" t="s">
        <v>496</v>
      </c>
      <c r="H12" s="5">
        <v>42668</v>
      </c>
      <c r="I12" s="24">
        <v>0.375</v>
      </c>
      <c r="J12" s="25">
        <v>0.38541666666666669</v>
      </c>
      <c r="K12" s="4">
        <v>15</v>
      </c>
      <c r="L12" s="6" t="s">
        <v>115</v>
      </c>
      <c r="M12" s="4" t="s">
        <v>241</v>
      </c>
      <c r="N12" s="4">
        <v>1809472576</v>
      </c>
      <c r="O12" s="4" t="s">
        <v>44</v>
      </c>
      <c r="P12" s="12">
        <v>42642.627557870372</v>
      </c>
      <c r="Q12" s="4"/>
      <c r="R12" s="4" t="s">
        <v>115</v>
      </c>
      <c r="S12" s="4"/>
      <c r="T12" s="5">
        <v>42642</v>
      </c>
      <c r="U12" s="4" t="s">
        <v>493</v>
      </c>
      <c r="V12" s="4"/>
      <c r="W12" s="4"/>
      <c r="X12" s="4"/>
      <c r="Y12" s="4"/>
      <c r="Z12" s="4"/>
    </row>
    <row r="13" spans="1:26" x14ac:dyDescent="0.35">
      <c r="A13" s="4"/>
      <c r="B13" s="8" t="s">
        <v>78</v>
      </c>
      <c r="C13" s="4" t="s">
        <v>23</v>
      </c>
      <c r="D13" s="4" t="s">
        <v>435</v>
      </c>
      <c r="E13" s="4" t="s">
        <v>436</v>
      </c>
      <c r="F13" s="4" t="s">
        <v>24</v>
      </c>
      <c r="G13" s="4" t="s">
        <v>437</v>
      </c>
      <c r="H13" s="5">
        <v>42668</v>
      </c>
      <c r="I13" s="24">
        <v>0.3888888888888889</v>
      </c>
      <c r="J13" s="25">
        <v>0.39583333333333331</v>
      </c>
      <c r="K13" s="4">
        <v>10</v>
      </c>
      <c r="L13" s="6" t="s">
        <v>74</v>
      </c>
      <c r="M13" s="4" t="s">
        <v>215</v>
      </c>
      <c r="N13" s="4">
        <v>1809717164</v>
      </c>
      <c r="O13" s="4" t="s">
        <v>44</v>
      </c>
      <c r="P13" s="12">
        <v>42650.39707175926</v>
      </c>
      <c r="Q13" s="4" t="s">
        <v>438</v>
      </c>
      <c r="R13" s="4" t="s">
        <v>76</v>
      </c>
      <c r="S13" s="4"/>
      <c r="T13" s="5">
        <v>42650</v>
      </c>
      <c r="U13" s="4" t="s">
        <v>493</v>
      </c>
      <c r="V13" s="4"/>
      <c r="W13" s="4"/>
      <c r="X13" s="4"/>
      <c r="Y13" s="4"/>
      <c r="Z13" s="4"/>
    </row>
    <row r="14" spans="1:26" x14ac:dyDescent="0.35">
      <c r="A14" s="30" t="s">
        <v>255</v>
      </c>
      <c r="B14" s="8" t="s">
        <v>379</v>
      </c>
      <c r="C14" s="4" t="s">
        <v>23</v>
      </c>
      <c r="D14" s="4" t="s">
        <v>337</v>
      </c>
      <c r="E14" s="4" t="s">
        <v>338</v>
      </c>
      <c r="F14" s="4" t="s">
        <v>32</v>
      </c>
      <c r="G14" s="4" t="s">
        <v>339</v>
      </c>
      <c r="H14" s="5">
        <v>42668</v>
      </c>
      <c r="I14" s="25">
        <v>0.39583333333333331</v>
      </c>
      <c r="J14" s="25">
        <v>0.40625</v>
      </c>
      <c r="K14" s="4">
        <v>15</v>
      </c>
      <c r="L14" s="4" t="s">
        <v>25</v>
      </c>
      <c r="M14" s="4"/>
      <c r="N14" s="4"/>
      <c r="O14" s="4"/>
      <c r="P14" s="12"/>
      <c r="Q14" s="4"/>
      <c r="R14" s="4"/>
      <c r="S14" s="4"/>
      <c r="T14" s="5"/>
      <c r="U14" s="4"/>
      <c r="V14" s="4"/>
      <c r="W14" s="4"/>
      <c r="X14" s="4"/>
      <c r="Y14" s="4"/>
      <c r="Z14" s="4"/>
    </row>
    <row r="15" spans="1:26" x14ac:dyDescent="0.35">
      <c r="A15" s="2"/>
      <c r="B15" s="8" t="s">
        <v>78</v>
      </c>
      <c r="C15" s="4" t="s">
        <v>23</v>
      </c>
      <c r="D15" s="4" t="s">
        <v>435</v>
      </c>
      <c r="E15" s="4" t="s">
        <v>436</v>
      </c>
      <c r="F15" s="4" t="s">
        <v>24</v>
      </c>
      <c r="G15" s="4" t="s">
        <v>437</v>
      </c>
      <c r="H15" s="5">
        <v>42668</v>
      </c>
      <c r="I15" s="24">
        <v>0.39583333333333331</v>
      </c>
      <c r="J15" s="25">
        <v>0.4236111111111111</v>
      </c>
      <c r="K15" s="4">
        <v>40</v>
      </c>
      <c r="L15" s="6" t="s">
        <v>74</v>
      </c>
      <c r="M15" s="4" t="s">
        <v>91</v>
      </c>
      <c r="N15" s="4">
        <v>1809717162</v>
      </c>
      <c r="O15" s="4" t="s">
        <v>44</v>
      </c>
      <c r="P15" s="12">
        <v>42650.39707175926</v>
      </c>
      <c r="Q15" s="4" t="s">
        <v>438</v>
      </c>
      <c r="R15" s="4" t="s">
        <v>92</v>
      </c>
      <c r="S15" s="4" t="s">
        <v>51</v>
      </c>
      <c r="T15" s="5">
        <v>42650</v>
      </c>
      <c r="U15" s="4" t="s">
        <v>493</v>
      </c>
      <c r="V15" s="4" t="s">
        <v>17</v>
      </c>
      <c r="W15" s="4"/>
      <c r="X15" s="4"/>
      <c r="Y15" s="4"/>
      <c r="Z15" s="4"/>
    </row>
    <row r="16" spans="1:26" x14ac:dyDescent="0.35">
      <c r="A16" s="2"/>
      <c r="B16" s="8" t="s">
        <v>235</v>
      </c>
      <c r="C16" s="4" t="s">
        <v>23</v>
      </c>
      <c r="D16" s="4" t="s">
        <v>494</v>
      </c>
      <c r="E16" s="4" t="s">
        <v>495</v>
      </c>
      <c r="F16" s="4" t="s">
        <v>24</v>
      </c>
      <c r="G16" s="4" t="s">
        <v>496</v>
      </c>
      <c r="H16" s="5">
        <v>42668</v>
      </c>
      <c r="I16" s="24">
        <v>0.40277777777777773</v>
      </c>
      <c r="J16" s="25">
        <v>0.40972222222222215</v>
      </c>
      <c r="K16" s="4">
        <v>10</v>
      </c>
      <c r="L16" s="6" t="s">
        <v>74</v>
      </c>
      <c r="M16" s="4" t="s">
        <v>215</v>
      </c>
      <c r="N16" s="4">
        <v>1809472575</v>
      </c>
      <c r="O16" s="4" t="s">
        <v>44</v>
      </c>
      <c r="P16" s="12">
        <v>42642.627546296295</v>
      </c>
      <c r="Q16" s="4"/>
      <c r="R16" s="4" t="s">
        <v>76</v>
      </c>
      <c r="S16" s="4"/>
      <c r="T16" s="5">
        <v>42642</v>
      </c>
      <c r="U16" s="4" t="s">
        <v>493</v>
      </c>
      <c r="V16" s="4"/>
      <c r="W16" s="4"/>
      <c r="X16" s="4"/>
      <c r="Y16" s="4"/>
      <c r="Z16" s="4"/>
    </row>
    <row r="17" spans="1:26" x14ac:dyDescent="0.35">
      <c r="A17" s="4"/>
      <c r="B17" s="8" t="s">
        <v>235</v>
      </c>
      <c r="C17" s="4" t="s">
        <v>23</v>
      </c>
      <c r="D17" s="4" t="s">
        <v>494</v>
      </c>
      <c r="E17" s="4" t="s">
        <v>495</v>
      </c>
      <c r="F17" s="4" t="s">
        <v>24</v>
      </c>
      <c r="G17" s="4" t="s">
        <v>496</v>
      </c>
      <c r="H17" s="5">
        <v>42668</v>
      </c>
      <c r="I17" s="24">
        <v>0.40972222222222227</v>
      </c>
      <c r="J17" s="25">
        <v>0.43750000000000006</v>
      </c>
      <c r="K17" s="4">
        <v>40</v>
      </c>
      <c r="L17" s="6" t="s">
        <v>74</v>
      </c>
      <c r="M17" s="4" t="s">
        <v>91</v>
      </c>
      <c r="N17" s="4">
        <v>1809472572</v>
      </c>
      <c r="O17" s="4" t="s">
        <v>44</v>
      </c>
      <c r="P17" s="12">
        <v>42642.627546296295</v>
      </c>
      <c r="Q17" s="4"/>
      <c r="R17" s="4" t="s">
        <v>92</v>
      </c>
      <c r="S17" s="4"/>
      <c r="T17" s="5">
        <v>42642</v>
      </c>
      <c r="U17" s="4" t="s">
        <v>493</v>
      </c>
      <c r="V17" s="4"/>
      <c r="W17" s="4"/>
      <c r="X17" s="4"/>
      <c r="Y17" s="4"/>
      <c r="Z17" s="4"/>
    </row>
    <row r="18" spans="1:26" hidden="1" x14ac:dyDescent="0.35">
      <c r="A18" s="9"/>
      <c r="B18" s="13" t="s">
        <v>52</v>
      </c>
      <c r="C18" s="4" t="s">
        <v>23</v>
      </c>
      <c r="D18" s="4" t="s">
        <v>170</v>
      </c>
      <c r="E18" s="4" t="s">
        <v>171</v>
      </c>
      <c r="F18" s="4" t="s">
        <v>140</v>
      </c>
      <c r="G18" s="4" t="s">
        <v>172</v>
      </c>
      <c r="H18" s="5">
        <v>42668</v>
      </c>
      <c r="I18" s="25">
        <v>0.41666666666666669</v>
      </c>
      <c r="J18" s="25">
        <v>0.4375</v>
      </c>
      <c r="K18" s="4">
        <v>30</v>
      </c>
      <c r="L18" s="4" t="s">
        <v>53</v>
      </c>
      <c r="M18" s="4" t="s">
        <v>415</v>
      </c>
      <c r="N18" s="4">
        <v>1810165266</v>
      </c>
      <c r="O18" s="4" t="s">
        <v>44</v>
      </c>
      <c r="P18" s="12">
        <v>42664.386469907404</v>
      </c>
      <c r="Q18" s="4" t="s">
        <v>174</v>
      </c>
      <c r="R18" s="4" t="s">
        <v>416</v>
      </c>
      <c r="S18" s="4"/>
      <c r="T18" s="5">
        <v>42664</v>
      </c>
      <c r="U18" s="4" t="s">
        <v>413</v>
      </c>
      <c r="V18" s="4"/>
      <c r="W18" s="4"/>
      <c r="X18" s="4"/>
      <c r="Y18" s="4"/>
      <c r="Z18" s="4"/>
    </row>
    <row r="19" spans="1:26" x14ac:dyDescent="0.35">
      <c r="A19" s="9"/>
      <c r="B19" s="8" t="s">
        <v>57</v>
      </c>
      <c r="C19" s="4" t="s">
        <v>23</v>
      </c>
      <c r="D19" s="4" t="s">
        <v>458</v>
      </c>
      <c r="E19" s="4" t="s">
        <v>459</v>
      </c>
      <c r="F19" s="4" t="s">
        <v>24</v>
      </c>
      <c r="G19" s="4" t="s">
        <v>267</v>
      </c>
      <c r="H19" s="5">
        <v>42668</v>
      </c>
      <c r="I19" s="25">
        <v>0.41666666666666669</v>
      </c>
      <c r="J19" s="25">
        <v>0.45833333333333337</v>
      </c>
      <c r="K19" s="4">
        <v>60</v>
      </c>
      <c r="L19" s="4" t="s">
        <v>347</v>
      </c>
      <c r="M19" s="4" t="s">
        <v>497</v>
      </c>
      <c r="N19" s="4">
        <v>1810189063</v>
      </c>
      <c r="O19" s="4" t="s">
        <v>96</v>
      </c>
      <c r="P19" s="12">
        <v>42664.611863425926</v>
      </c>
      <c r="Q19" s="4"/>
      <c r="R19" s="4" t="s">
        <v>348</v>
      </c>
      <c r="S19" s="4"/>
      <c r="T19" s="5">
        <v>42664</v>
      </c>
      <c r="U19" s="4" t="s">
        <v>498</v>
      </c>
      <c r="V19" s="4"/>
      <c r="W19" s="4"/>
      <c r="X19" s="4"/>
      <c r="Y19" s="4"/>
      <c r="Z19" s="4"/>
    </row>
    <row r="20" spans="1:26" x14ac:dyDescent="0.35">
      <c r="A20" s="2"/>
      <c r="B20" s="8" t="s">
        <v>161</v>
      </c>
      <c r="C20" s="4" t="s">
        <v>23</v>
      </c>
      <c r="D20" s="4" t="s">
        <v>484</v>
      </c>
      <c r="E20" s="4" t="s">
        <v>350</v>
      </c>
      <c r="F20" s="4" t="s">
        <v>162</v>
      </c>
      <c r="G20" s="4" t="s">
        <v>485</v>
      </c>
      <c r="H20" s="5">
        <v>42668</v>
      </c>
      <c r="I20" s="24">
        <v>0.41666666666666669</v>
      </c>
      <c r="J20" s="25">
        <v>0.47916666666666669</v>
      </c>
      <c r="K20" s="4">
        <v>90</v>
      </c>
      <c r="L20" s="6" t="s">
        <v>26</v>
      </c>
      <c r="M20" s="4" t="s">
        <v>192</v>
      </c>
      <c r="N20" s="4">
        <v>1809175984</v>
      </c>
      <c r="O20" s="4" t="s">
        <v>44</v>
      </c>
      <c r="P20" s="12">
        <v>42633.672407407408</v>
      </c>
      <c r="Q20" s="4"/>
      <c r="R20" s="4" t="s">
        <v>27</v>
      </c>
      <c r="S20" s="4"/>
      <c r="T20" s="5">
        <v>42633</v>
      </c>
      <c r="U20" s="4" t="s">
        <v>377</v>
      </c>
      <c r="V20" s="4"/>
      <c r="W20" s="4"/>
      <c r="X20" s="4"/>
      <c r="Y20" s="4"/>
      <c r="Z20" s="4"/>
    </row>
    <row r="21" spans="1:26" x14ac:dyDescent="0.35">
      <c r="A21" s="7" t="s">
        <v>499</v>
      </c>
      <c r="B21" s="8" t="s">
        <v>500</v>
      </c>
      <c r="C21" s="4" t="s">
        <v>23</v>
      </c>
      <c r="D21" s="4" t="s">
        <v>501</v>
      </c>
      <c r="E21" s="4" t="s">
        <v>502</v>
      </c>
      <c r="F21" s="4" t="s">
        <v>119</v>
      </c>
      <c r="G21" s="4" t="s">
        <v>503</v>
      </c>
      <c r="H21" s="5">
        <v>42668</v>
      </c>
      <c r="I21" s="24">
        <v>0.4201388888888889</v>
      </c>
      <c r="J21" s="25">
        <v>0.4375</v>
      </c>
      <c r="K21" s="4">
        <v>25</v>
      </c>
      <c r="L21" s="6" t="s">
        <v>181</v>
      </c>
      <c r="M21" s="4" t="s">
        <v>239</v>
      </c>
      <c r="N21" s="4">
        <v>1809665177</v>
      </c>
      <c r="O21" s="4" t="s">
        <v>44</v>
      </c>
      <c r="P21" s="12">
        <v>42649.352858796294</v>
      </c>
      <c r="Q21" s="4" t="s">
        <v>504</v>
      </c>
      <c r="R21" s="4" t="s">
        <v>181</v>
      </c>
      <c r="S21" s="4"/>
      <c r="T21" s="5">
        <v>42649</v>
      </c>
      <c r="U21" s="4" t="s">
        <v>451</v>
      </c>
      <c r="V21" s="4"/>
      <c r="W21" s="4"/>
      <c r="X21" s="4"/>
      <c r="Y21" s="4"/>
      <c r="Z21" s="4"/>
    </row>
    <row r="22" spans="1:26" x14ac:dyDescent="0.35">
      <c r="A22" s="2"/>
      <c r="B22" s="8" t="s">
        <v>78</v>
      </c>
      <c r="C22" s="4" t="s">
        <v>23</v>
      </c>
      <c r="D22" s="4" t="s">
        <v>79</v>
      </c>
      <c r="E22" s="4" t="s">
        <v>80</v>
      </c>
      <c r="F22" s="4" t="s">
        <v>24</v>
      </c>
      <c r="G22" s="4" t="s">
        <v>81</v>
      </c>
      <c r="H22" s="5">
        <v>42668</v>
      </c>
      <c r="I22" s="24">
        <v>0.4375</v>
      </c>
      <c r="J22" s="25">
        <v>0.45833333333333331</v>
      </c>
      <c r="K22" s="4">
        <v>30</v>
      </c>
      <c r="L22" s="6" t="s">
        <v>179</v>
      </c>
      <c r="M22" s="4" t="s">
        <v>50</v>
      </c>
      <c r="N22" s="4">
        <v>1809735814</v>
      </c>
      <c r="O22" s="4" t="s">
        <v>44</v>
      </c>
      <c r="P22" s="12">
        <v>42650.592442129629</v>
      </c>
      <c r="Q22" s="4" t="s">
        <v>84</v>
      </c>
      <c r="R22" s="4" t="s">
        <v>202</v>
      </c>
      <c r="S22" s="4"/>
      <c r="T22" s="5">
        <v>42650</v>
      </c>
      <c r="U22" s="4" t="s">
        <v>106</v>
      </c>
      <c r="V22" s="4"/>
      <c r="W22" s="4"/>
      <c r="X22" s="4"/>
      <c r="Y22" s="4"/>
      <c r="Z22" s="4"/>
    </row>
    <row r="23" spans="1:26" hidden="1" x14ac:dyDescent="0.35">
      <c r="A23" s="2"/>
      <c r="B23" s="3" t="s">
        <v>22</v>
      </c>
      <c r="C23" s="4" t="s">
        <v>23</v>
      </c>
      <c r="D23" s="4" t="s">
        <v>258</v>
      </c>
      <c r="E23" s="4" t="s">
        <v>259</v>
      </c>
      <c r="F23" s="4" t="s">
        <v>119</v>
      </c>
      <c r="G23" s="4" t="s">
        <v>260</v>
      </c>
      <c r="H23" s="5">
        <v>42668</v>
      </c>
      <c r="I23" s="24">
        <v>0.45833333333333331</v>
      </c>
      <c r="J23" s="25">
        <v>0.46875</v>
      </c>
      <c r="K23" s="4">
        <v>15</v>
      </c>
      <c r="L23" s="6" t="s">
        <v>25</v>
      </c>
      <c r="M23" s="4" t="s">
        <v>25</v>
      </c>
      <c r="N23" s="4">
        <v>1809384369</v>
      </c>
      <c r="O23" s="4" t="s">
        <v>96</v>
      </c>
      <c r="P23" s="12">
        <v>42640.591446759259</v>
      </c>
      <c r="Q23" s="4"/>
      <c r="R23" s="4" t="s">
        <v>25</v>
      </c>
      <c r="S23" s="4"/>
      <c r="T23" s="5">
        <v>42640</v>
      </c>
      <c r="U23" s="4" t="s">
        <v>248</v>
      </c>
      <c r="V23" s="4"/>
      <c r="W23" s="4"/>
      <c r="X23" s="4"/>
      <c r="Y23" s="4"/>
      <c r="Z23" s="4"/>
    </row>
    <row r="24" spans="1:26" x14ac:dyDescent="0.35">
      <c r="A24" s="9"/>
      <c r="B24" s="8" t="s">
        <v>57</v>
      </c>
      <c r="C24" s="4" t="s">
        <v>23</v>
      </c>
      <c r="D24" s="4" t="s">
        <v>458</v>
      </c>
      <c r="E24" s="4" t="s">
        <v>459</v>
      </c>
      <c r="F24" s="4" t="s">
        <v>24</v>
      </c>
      <c r="G24" s="4" t="s">
        <v>267</v>
      </c>
      <c r="H24" s="5">
        <v>42668</v>
      </c>
      <c r="I24" s="25">
        <v>0.45833333333333331</v>
      </c>
      <c r="J24" s="25">
        <v>0.5</v>
      </c>
      <c r="K24" s="4">
        <v>60</v>
      </c>
      <c r="L24" s="4" t="s">
        <v>107</v>
      </c>
      <c r="M24" s="4" t="s">
        <v>505</v>
      </c>
      <c r="N24" s="4">
        <v>1810084279</v>
      </c>
      <c r="O24" s="4" t="s">
        <v>44</v>
      </c>
      <c r="P24" s="12">
        <v>42662.423136574071</v>
      </c>
      <c r="Q24" s="4"/>
      <c r="R24" s="4" t="s">
        <v>109</v>
      </c>
      <c r="S24" s="4"/>
      <c r="T24" s="5">
        <v>42662</v>
      </c>
      <c r="U24" s="4" t="s">
        <v>36</v>
      </c>
      <c r="V24" s="4"/>
      <c r="W24" s="4"/>
      <c r="X24" s="4"/>
      <c r="Y24" s="4"/>
      <c r="Z24" s="4"/>
    </row>
    <row r="25" spans="1:26" hidden="1" x14ac:dyDescent="0.35">
      <c r="A25" s="9"/>
      <c r="B25" s="3" t="s">
        <v>22</v>
      </c>
      <c r="C25" s="4" t="s">
        <v>23</v>
      </c>
      <c r="D25" s="4" t="s">
        <v>425</v>
      </c>
      <c r="E25" s="4" t="s">
        <v>426</v>
      </c>
      <c r="F25" s="4" t="s">
        <v>427</v>
      </c>
      <c r="G25" s="4" t="s">
        <v>428</v>
      </c>
      <c r="H25" s="5">
        <v>42668</v>
      </c>
      <c r="I25" s="25">
        <v>0.45833333333333331</v>
      </c>
      <c r="J25" s="25">
        <v>0.46875</v>
      </c>
      <c r="K25" s="4">
        <v>15</v>
      </c>
      <c r="L25" s="4" t="s">
        <v>25</v>
      </c>
      <c r="M25" s="4" t="s">
        <v>25</v>
      </c>
      <c r="N25" s="4">
        <v>1810190947</v>
      </c>
      <c r="O25" s="4" t="s">
        <v>96</v>
      </c>
      <c r="P25" s="12">
        <v>42664.629131944443</v>
      </c>
      <c r="Q25" s="4" t="s">
        <v>429</v>
      </c>
      <c r="R25" s="4" t="s">
        <v>25</v>
      </c>
      <c r="S25" s="4"/>
      <c r="T25" s="5">
        <v>42664</v>
      </c>
      <c r="U25" s="4" t="s">
        <v>277</v>
      </c>
      <c r="V25" s="4"/>
      <c r="W25" s="4"/>
      <c r="X25" s="4"/>
      <c r="Y25" s="4"/>
      <c r="Z25" s="4"/>
    </row>
    <row r="26" spans="1:26" hidden="1" x14ac:dyDescent="0.35">
      <c r="A26" s="18"/>
      <c r="B26" s="3" t="s">
        <v>22</v>
      </c>
      <c r="C26" s="4" t="s">
        <v>23</v>
      </c>
      <c r="D26" s="4" t="s">
        <v>218</v>
      </c>
      <c r="E26" s="4" t="s">
        <v>219</v>
      </c>
      <c r="F26" s="4" t="s">
        <v>114</v>
      </c>
      <c r="G26" s="4" t="s">
        <v>220</v>
      </c>
      <c r="H26" s="5">
        <v>42668</v>
      </c>
      <c r="I26" s="25">
        <v>0.46875</v>
      </c>
      <c r="J26" s="25">
        <v>0.47916666666666669</v>
      </c>
      <c r="K26" s="4">
        <v>15</v>
      </c>
      <c r="L26" s="4" t="s">
        <v>25</v>
      </c>
      <c r="M26" s="4" t="s">
        <v>398</v>
      </c>
      <c r="N26" s="4">
        <v>1810154909</v>
      </c>
      <c r="O26" s="4" t="s">
        <v>44</v>
      </c>
      <c r="P26" s="12">
        <v>42663.699270833335</v>
      </c>
      <c r="Q26" s="4" t="s">
        <v>222</v>
      </c>
      <c r="R26" s="4" t="s">
        <v>25</v>
      </c>
      <c r="S26" s="4"/>
      <c r="T26" s="5">
        <v>42663</v>
      </c>
      <c r="U26" s="4" t="s">
        <v>128</v>
      </c>
      <c r="V26" s="4"/>
      <c r="W26" s="4"/>
      <c r="X26" s="4"/>
      <c r="Y26" s="4"/>
      <c r="Z26" s="4"/>
    </row>
    <row r="27" spans="1:26" x14ac:dyDescent="0.35">
      <c r="A27" s="7"/>
      <c r="B27" s="8" t="s">
        <v>123</v>
      </c>
      <c r="C27" s="4" t="s">
        <v>23</v>
      </c>
      <c r="D27" s="4" t="s">
        <v>422</v>
      </c>
      <c r="E27" s="4" t="s">
        <v>423</v>
      </c>
      <c r="F27" s="4" t="s">
        <v>114</v>
      </c>
      <c r="G27" s="4" t="s">
        <v>424</v>
      </c>
      <c r="H27" s="5">
        <v>42668</v>
      </c>
      <c r="I27" s="25">
        <v>0.46875</v>
      </c>
      <c r="J27" s="25">
        <v>0.5</v>
      </c>
      <c r="K27" s="4">
        <v>45</v>
      </c>
      <c r="L27" s="6" t="s">
        <v>290</v>
      </c>
      <c r="M27" s="4"/>
      <c r="N27" s="4"/>
      <c r="O27" s="4"/>
      <c r="P27" s="12"/>
      <c r="Q27" s="4"/>
      <c r="R27" s="4"/>
      <c r="S27" s="4"/>
      <c r="T27" s="5"/>
      <c r="U27" s="4"/>
      <c r="V27" s="4"/>
      <c r="W27" s="4"/>
      <c r="X27" s="4"/>
      <c r="Y27" s="4"/>
      <c r="Z27" s="4"/>
    </row>
    <row r="28" spans="1:26" x14ac:dyDescent="0.35">
      <c r="A28" s="11"/>
      <c r="B28" s="8" t="s">
        <v>78</v>
      </c>
      <c r="C28" s="4" t="s">
        <v>23</v>
      </c>
      <c r="D28" s="4" t="s">
        <v>79</v>
      </c>
      <c r="E28" s="4" t="s">
        <v>80</v>
      </c>
      <c r="F28" s="4" t="s">
        <v>24</v>
      </c>
      <c r="G28" s="4" t="s">
        <v>81</v>
      </c>
      <c r="H28" s="5">
        <v>42668</v>
      </c>
      <c r="I28" s="25">
        <v>0.46875</v>
      </c>
      <c r="J28" s="25">
        <v>0.5</v>
      </c>
      <c r="K28" s="4">
        <v>45</v>
      </c>
      <c r="L28" s="4" t="s">
        <v>82</v>
      </c>
      <c r="M28" s="4" t="s">
        <v>83</v>
      </c>
      <c r="N28" s="4">
        <v>1810090676</v>
      </c>
      <c r="O28" s="4" t="s">
        <v>44</v>
      </c>
      <c r="P28" s="12">
        <v>42662.479247685187</v>
      </c>
      <c r="Q28" s="4" t="s">
        <v>84</v>
      </c>
      <c r="R28" s="4" t="s">
        <v>85</v>
      </c>
      <c r="S28" s="4"/>
      <c r="T28" s="5">
        <v>42662</v>
      </c>
      <c r="U28" s="4" t="s">
        <v>56</v>
      </c>
      <c r="V28" s="4"/>
      <c r="W28" s="4"/>
      <c r="X28" s="4"/>
      <c r="Y28" s="4"/>
      <c r="Z28" s="4"/>
    </row>
    <row r="29" spans="1:26" x14ac:dyDescent="0.35">
      <c r="A29" s="17"/>
      <c r="B29" s="8" t="s">
        <v>379</v>
      </c>
      <c r="C29" s="4" t="s">
        <v>23</v>
      </c>
      <c r="D29" s="4" t="s">
        <v>337</v>
      </c>
      <c r="E29" s="4" t="s">
        <v>338</v>
      </c>
      <c r="F29" s="4" t="s">
        <v>32</v>
      </c>
      <c r="G29" s="4" t="s">
        <v>339</v>
      </c>
      <c r="H29" s="5">
        <v>42668</v>
      </c>
      <c r="I29" s="24">
        <v>0.47916666666666669</v>
      </c>
      <c r="J29" s="25">
        <v>0.5</v>
      </c>
      <c r="K29" s="4">
        <v>30</v>
      </c>
      <c r="L29" s="6" t="s">
        <v>53</v>
      </c>
      <c r="M29" s="4"/>
      <c r="N29" s="4"/>
      <c r="O29" s="4"/>
      <c r="P29" s="12"/>
      <c r="Q29" s="4"/>
      <c r="R29" s="4"/>
      <c r="S29" s="4"/>
      <c r="T29" s="5"/>
      <c r="U29" s="4"/>
      <c r="V29" s="4"/>
      <c r="W29" s="4"/>
      <c r="X29" s="4"/>
      <c r="Y29" s="4"/>
      <c r="Z29" s="4"/>
    </row>
    <row r="30" spans="1:26" hidden="1" x14ac:dyDescent="0.35">
      <c r="A30" s="18"/>
      <c r="B30" s="10" t="s">
        <v>103</v>
      </c>
      <c r="C30" s="4" t="s">
        <v>23</v>
      </c>
      <c r="D30" s="4" t="s">
        <v>506</v>
      </c>
      <c r="E30" s="4" t="s">
        <v>507</v>
      </c>
      <c r="F30" s="4" t="s">
        <v>41</v>
      </c>
      <c r="G30" s="4" t="s">
        <v>508</v>
      </c>
      <c r="H30" s="5">
        <v>42668</v>
      </c>
      <c r="I30" s="25">
        <v>0.48958333333333331</v>
      </c>
      <c r="J30" s="25">
        <v>0.5</v>
      </c>
      <c r="K30" s="4">
        <v>15</v>
      </c>
      <c r="L30" s="14" t="s">
        <v>193</v>
      </c>
      <c r="M30" s="4" t="s">
        <v>186</v>
      </c>
      <c r="N30" s="4">
        <v>1809965608</v>
      </c>
      <c r="O30" s="4" t="s">
        <v>96</v>
      </c>
      <c r="P30" s="12">
        <v>42657.638888888891</v>
      </c>
      <c r="Q30" s="4"/>
      <c r="R30" s="4" t="s">
        <v>194</v>
      </c>
      <c r="S30" s="4"/>
      <c r="T30" s="5">
        <v>42657</v>
      </c>
      <c r="U30" s="4" t="s">
        <v>344</v>
      </c>
      <c r="V30" s="4"/>
      <c r="W30" s="4"/>
      <c r="X30" s="4"/>
      <c r="Y30" s="4"/>
      <c r="Z30" s="4"/>
    </row>
    <row r="31" spans="1:26" x14ac:dyDescent="0.35">
      <c r="A31" s="7" t="s">
        <v>324</v>
      </c>
      <c r="B31" s="8" t="s">
        <v>184</v>
      </c>
      <c r="C31" s="4" t="s">
        <v>23</v>
      </c>
      <c r="D31" s="4" t="s">
        <v>509</v>
      </c>
      <c r="E31" s="4" t="s">
        <v>510</v>
      </c>
      <c r="F31" s="4" t="s">
        <v>32</v>
      </c>
      <c r="G31" s="4" t="s">
        <v>511</v>
      </c>
      <c r="H31" s="5">
        <v>42668</v>
      </c>
      <c r="I31" s="24">
        <v>0.48958333333333331</v>
      </c>
      <c r="J31" s="25">
        <v>0.57291666666666663</v>
      </c>
      <c r="K31" s="4">
        <v>120</v>
      </c>
      <c r="L31" s="6" t="s">
        <v>115</v>
      </c>
      <c r="M31" s="4" t="s">
        <v>225</v>
      </c>
      <c r="N31" s="4">
        <v>1809602990</v>
      </c>
      <c r="O31" s="4" t="s">
        <v>44</v>
      </c>
      <c r="P31" s="12">
        <v>42647.585104166668</v>
      </c>
      <c r="Q31" s="4" t="s">
        <v>512</v>
      </c>
      <c r="R31" s="4" t="s">
        <v>115</v>
      </c>
      <c r="S31" s="4"/>
      <c r="T31" s="5">
        <v>42647</v>
      </c>
      <c r="U31" s="4" t="s">
        <v>277</v>
      </c>
      <c r="V31" s="4"/>
      <c r="W31" s="4"/>
      <c r="X31" s="4"/>
      <c r="Y31" s="4"/>
      <c r="Z31" s="4"/>
    </row>
    <row r="32" spans="1:26" hidden="1" x14ac:dyDescent="0.35">
      <c r="A32" s="2"/>
      <c r="B32" s="13" t="s">
        <v>52</v>
      </c>
      <c r="C32" s="4" t="s">
        <v>23</v>
      </c>
      <c r="D32" s="4" t="s">
        <v>258</v>
      </c>
      <c r="E32" s="4" t="s">
        <v>259</v>
      </c>
      <c r="F32" s="4" t="s">
        <v>119</v>
      </c>
      <c r="G32" s="4" t="s">
        <v>260</v>
      </c>
      <c r="H32" s="5">
        <v>42668</v>
      </c>
      <c r="I32" s="24">
        <v>0.5</v>
      </c>
      <c r="J32" s="25">
        <v>0.54166666666666663</v>
      </c>
      <c r="K32" s="4">
        <v>60</v>
      </c>
      <c r="L32" s="6" t="s">
        <v>26</v>
      </c>
      <c r="M32" s="4" t="s">
        <v>268</v>
      </c>
      <c r="N32" s="4">
        <v>1809384370</v>
      </c>
      <c r="O32" s="4" t="s">
        <v>96</v>
      </c>
      <c r="P32" s="12">
        <v>42640.591446759259</v>
      </c>
      <c r="Q32" s="4"/>
      <c r="R32" s="4" t="s">
        <v>27</v>
      </c>
      <c r="S32" s="4"/>
      <c r="T32" s="5">
        <v>42640</v>
      </c>
      <c r="U32" s="4" t="s">
        <v>248</v>
      </c>
      <c r="V32" s="4"/>
      <c r="W32" s="4"/>
      <c r="X32" s="4"/>
      <c r="Y32" s="4"/>
      <c r="Z32" s="4"/>
    </row>
    <row r="33" spans="1:26" x14ac:dyDescent="0.35">
      <c r="A33" s="17" t="s">
        <v>324</v>
      </c>
      <c r="B33" s="8" t="s">
        <v>394</v>
      </c>
      <c r="C33" s="4" t="s">
        <v>23</v>
      </c>
      <c r="D33" s="4" t="s">
        <v>513</v>
      </c>
      <c r="E33" s="4" t="s">
        <v>514</v>
      </c>
      <c r="F33" s="4" t="s">
        <v>32</v>
      </c>
      <c r="G33" s="4" t="s">
        <v>515</v>
      </c>
      <c r="H33" s="5">
        <v>42668</v>
      </c>
      <c r="I33" s="24">
        <v>0.50694444444444442</v>
      </c>
      <c r="J33" s="25">
        <v>0.61111111111111105</v>
      </c>
      <c r="K33" s="4">
        <v>150</v>
      </c>
      <c r="L33" s="6" t="s">
        <v>115</v>
      </c>
      <c r="M33" s="4" t="s">
        <v>116</v>
      </c>
      <c r="N33" s="4">
        <v>1809652098</v>
      </c>
      <c r="O33" s="4" t="s">
        <v>44</v>
      </c>
      <c r="P33" s="12">
        <v>42648.655763888892</v>
      </c>
      <c r="Q33" s="4" t="s">
        <v>516</v>
      </c>
      <c r="R33" s="4" t="s">
        <v>115</v>
      </c>
      <c r="S33" s="4"/>
      <c r="T33" s="5">
        <v>42648</v>
      </c>
      <c r="U33" s="4" t="s">
        <v>158</v>
      </c>
      <c r="V33" s="4"/>
      <c r="W33" s="4"/>
      <c r="X33" s="4"/>
      <c r="Y33" s="4"/>
      <c r="Z33" s="4"/>
    </row>
    <row r="34" spans="1:26" hidden="1" x14ac:dyDescent="0.35">
      <c r="A34" s="2"/>
      <c r="B34" s="3" t="s">
        <v>22</v>
      </c>
      <c r="C34" s="4" t="s">
        <v>23</v>
      </c>
      <c r="D34" s="4" t="s">
        <v>245</v>
      </c>
      <c r="E34" s="4" t="s">
        <v>246</v>
      </c>
      <c r="F34" s="4" t="s">
        <v>41</v>
      </c>
      <c r="G34" s="4" t="s">
        <v>247</v>
      </c>
      <c r="H34" s="5">
        <v>42668</v>
      </c>
      <c r="I34" s="24">
        <v>0.51041666666666663</v>
      </c>
      <c r="J34" s="25">
        <v>0.52083333333333326</v>
      </c>
      <c r="K34" s="4">
        <v>15</v>
      </c>
      <c r="L34" s="6" t="s">
        <v>25</v>
      </c>
      <c r="M34" s="4" t="s">
        <v>25</v>
      </c>
      <c r="N34" s="4">
        <v>1809371762</v>
      </c>
      <c r="O34" s="4" t="s">
        <v>44</v>
      </c>
      <c r="P34" s="12">
        <v>42640.46466435185</v>
      </c>
      <c r="Q34" s="4"/>
      <c r="R34" s="4" t="s">
        <v>25</v>
      </c>
      <c r="S34" s="4"/>
      <c r="T34" s="5">
        <v>42640</v>
      </c>
      <c r="U34" s="4" t="s">
        <v>248</v>
      </c>
      <c r="V34" s="4"/>
      <c r="W34" s="4"/>
      <c r="X34" s="4"/>
      <c r="Y34" s="4"/>
      <c r="Z34" s="4"/>
    </row>
    <row r="35" spans="1:26" hidden="1" x14ac:dyDescent="0.35">
      <c r="A35" s="2"/>
      <c r="B35" s="13" t="s">
        <v>52</v>
      </c>
      <c r="C35" s="4" t="s">
        <v>23</v>
      </c>
      <c r="D35" s="4" t="s">
        <v>448</v>
      </c>
      <c r="E35" s="4" t="s">
        <v>449</v>
      </c>
      <c r="F35" s="4" t="s">
        <v>307</v>
      </c>
      <c r="G35" s="4" t="s">
        <v>450</v>
      </c>
      <c r="H35" s="5">
        <v>42668</v>
      </c>
      <c r="I35" s="24">
        <v>0.52083333333333337</v>
      </c>
      <c r="J35" s="25">
        <v>0.54166666666666674</v>
      </c>
      <c r="K35" s="4">
        <v>30</v>
      </c>
      <c r="L35" s="6" t="s">
        <v>179</v>
      </c>
      <c r="M35" s="4" t="s">
        <v>50</v>
      </c>
      <c r="N35" s="4">
        <v>1809581423</v>
      </c>
      <c r="O35" s="4" t="s">
        <v>96</v>
      </c>
      <c r="P35" s="12">
        <v>42647.385474537034</v>
      </c>
      <c r="Q35" s="4"/>
      <c r="R35" s="4" t="s">
        <v>202</v>
      </c>
      <c r="S35" s="4" t="s">
        <v>51</v>
      </c>
      <c r="T35" s="5">
        <v>42647</v>
      </c>
      <c r="U35" s="4" t="s">
        <v>277</v>
      </c>
      <c r="V35" s="4" t="s">
        <v>17</v>
      </c>
      <c r="W35" s="4"/>
      <c r="X35" s="4"/>
      <c r="Y35" s="4"/>
      <c r="Z35" s="4"/>
    </row>
    <row r="36" spans="1:26" hidden="1" x14ac:dyDescent="0.35">
      <c r="A36" s="2"/>
      <c r="B36" s="13" t="s">
        <v>52</v>
      </c>
      <c r="C36" s="4" t="s">
        <v>23</v>
      </c>
      <c r="D36" s="4" t="s">
        <v>258</v>
      </c>
      <c r="E36" s="4" t="s">
        <v>259</v>
      </c>
      <c r="F36" s="4" t="s">
        <v>119</v>
      </c>
      <c r="G36" s="4" t="s">
        <v>260</v>
      </c>
      <c r="H36" s="5">
        <v>42668</v>
      </c>
      <c r="I36" s="24">
        <v>0.52083333333333337</v>
      </c>
      <c r="J36" s="25">
        <v>0.54166666666666674</v>
      </c>
      <c r="K36" s="4">
        <v>30</v>
      </c>
      <c r="L36" s="6" t="s">
        <v>156</v>
      </c>
      <c r="M36" s="4" t="s">
        <v>269</v>
      </c>
      <c r="N36" s="4">
        <v>1809384366</v>
      </c>
      <c r="O36" s="4" t="s">
        <v>96</v>
      </c>
      <c r="P36" s="12">
        <v>42640.591446759259</v>
      </c>
      <c r="Q36" s="4"/>
      <c r="R36" s="4" t="s">
        <v>156</v>
      </c>
      <c r="S36" s="4"/>
      <c r="T36" s="5">
        <v>42640</v>
      </c>
      <c r="U36" s="4" t="s">
        <v>248</v>
      </c>
      <c r="V36" s="4"/>
      <c r="W36" s="4"/>
      <c r="X36" s="4"/>
      <c r="Y36" s="4"/>
      <c r="Z36" s="4"/>
    </row>
    <row r="37" spans="1:26" x14ac:dyDescent="0.35">
      <c r="A37" s="17"/>
      <c r="B37" s="8" t="s">
        <v>379</v>
      </c>
      <c r="C37" s="4" t="s">
        <v>23</v>
      </c>
      <c r="D37" s="4" t="s">
        <v>337</v>
      </c>
      <c r="E37" s="4" t="s">
        <v>338</v>
      </c>
      <c r="F37" s="4" t="s">
        <v>32</v>
      </c>
      <c r="G37" s="4" t="s">
        <v>339</v>
      </c>
      <c r="H37" s="5">
        <v>42668</v>
      </c>
      <c r="I37" s="24">
        <v>0.52083333333333337</v>
      </c>
      <c r="J37" s="25">
        <v>0.625</v>
      </c>
      <c r="K37" s="4">
        <v>150</v>
      </c>
      <c r="L37" s="6" t="s">
        <v>26</v>
      </c>
      <c r="M37" s="4"/>
      <c r="N37" s="4"/>
      <c r="O37" s="4"/>
      <c r="P37" s="12"/>
      <c r="Q37" s="4"/>
      <c r="R37" s="4"/>
      <c r="S37" s="4"/>
      <c r="T37" s="5"/>
      <c r="U37" s="4"/>
      <c r="V37" s="4"/>
      <c r="W37" s="4"/>
      <c r="X37" s="4"/>
      <c r="Y37" s="4"/>
      <c r="Z37" s="4"/>
    </row>
    <row r="38" spans="1:26" x14ac:dyDescent="0.35">
      <c r="A38" s="2"/>
      <c r="B38" s="8" t="s">
        <v>78</v>
      </c>
      <c r="C38" s="4" t="s">
        <v>23</v>
      </c>
      <c r="D38" s="4" t="s">
        <v>517</v>
      </c>
      <c r="E38" s="4" t="s">
        <v>155</v>
      </c>
      <c r="F38" s="4" t="s">
        <v>24</v>
      </c>
      <c r="G38" s="4" t="s">
        <v>518</v>
      </c>
      <c r="H38" s="5">
        <v>42668</v>
      </c>
      <c r="I38" s="25">
        <v>0.52083333333333337</v>
      </c>
      <c r="J38" s="25">
        <v>0.52083333333333337</v>
      </c>
      <c r="K38" s="4">
        <v>10</v>
      </c>
      <c r="L38" s="6" t="s">
        <v>74</v>
      </c>
      <c r="M38" s="4" t="s">
        <v>215</v>
      </c>
      <c r="N38" s="4">
        <v>1809445592</v>
      </c>
      <c r="O38" s="4" t="s">
        <v>44</v>
      </c>
      <c r="P38" s="12">
        <v>42642.348819444444</v>
      </c>
      <c r="Q38" s="4"/>
      <c r="R38" s="4" t="s">
        <v>76</v>
      </c>
      <c r="S38" s="4"/>
      <c r="T38" s="5">
        <v>42642</v>
      </c>
      <c r="U38" s="4" t="s">
        <v>493</v>
      </c>
      <c r="V38" s="4"/>
      <c r="W38" s="4"/>
      <c r="X38" s="4"/>
      <c r="Y38" s="4"/>
      <c r="Z38" s="4"/>
    </row>
    <row r="39" spans="1:26" x14ac:dyDescent="0.35">
      <c r="A39" s="2"/>
      <c r="B39" s="8" t="s">
        <v>78</v>
      </c>
      <c r="C39" s="4" t="s">
        <v>23</v>
      </c>
      <c r="D39" s="4" t="s">
        <v>517</v>
      </c>
      <c r="E39" s="4" t="s">
        <v>155</v>
      </c>
      <c r="F39" s="4" t="s">
        <v>24</v>
      </c>
      <c r="G39" s="4" t="s">
        <v>518</v>
      </c>
      <c r="H39" s="5">
        <v>42668</v>
      </c>
      <c r="I39" s="25">
        <v>0.52777777777777779</v>
      </c>
      <c r="J39" s="25">
        <v>0.54861111111111116</v>
      </c>
      <c r="K39" s="4">
        <v>40</v>
      </c>
      <c r="L39" s="6" t="s">
        <v>74</v>
      </c>
      <c r="M39" s="4" t="s">
        <v>91</v>
      </c>
      <c r="N39" s="4">
        <v>1809445591</v>
      </c>
      <c r="O39" s="4" t="s">
        <v>44</v>
      </c>
      <c r="P39" s="12">
        <v>42642.348819444444</v>
      </c>
      <c r="Q39" s="4"/>
      <c r="R39" s="4" t="s">
        <v>92</v>
      </c>
      <c r="S39" s="4"/>
      <c r="T39" s="5">
        <v>42642</v>
      </c>
      <c r="U39" s="4" t="s">
        <v>493</v>
      </c>
      <c r="V39" s="4"/>
      <c r="W39" s="4"/>
      <c r="X39" s="4"/>
      <c r="Y39" s="4"/>
      <c r="Z39" s="4"/>
    </row>
    <row r="40" spans="1:26" x14ac:dyDescent="0.35">
      <c r="A40" s="9"/>
      <c r="B40" s="8" t="s">
        <v>57</v>
      </c>
      <c r="C40" s="4" t="s">
        <v>23</v>
      </c>
      <c r="D40" s="4" t="s">
        <v>458</v>
      </c>
      <c r="E40" s="4" t="s">
        <v>459</v>
      </c>
      <c r="F40" s="4" t="s">
        <v>24</v>
      </c>
      <c r="G40" s="4" t="s">
        <v>267</v>
      </c>
      <c r="H40" s="5">
        <v>42668</v>
      </c>
      <c r="I40" s="25">
        <v>0.53125</v>
      </c>
      <c r="J40" s="25">
        <v>0.54166666666666663</v>
      </c>
      <c r="K40" s="4">
        <v>15</v>
      </c>
      <c r="L40" s="4" t="s">
        <v>25</v>
      </c>
      <c r="M40" s="4" t="s">
        <v>361</v>
      </c>
      <c r="N40" s="4">
        <v>1810089588</v>
      </c>
      <c r="O40" s="4" t="s">
        <v>44</v>
      </c>
      <c r="P40" s="12">
        <v>42662.469386574077</v>
      </c>
      <c r="Q40" s="4"/>
      <c r="R40" s="4" t="s">
        <v>25</v>
      </c>
      <c r="S40" s="4" t="s">
        <v>117</v>
      </c>
      <c r="T40" s="5">
        <v>42662</v>
      </c>
      <c r="U40" s="4" t="s">
        <v>128</v>
      </c>
      <c r="V40" s="4" t="s">
        <v>17</v>
      </c>
      <c r="W40" s="4"/>
      <c r="X40" s="4"/>
      <c r="Y40" s="4"/>
      <c r="Z40" s="4"/>
    </row>
    <row r="41" spans="1:26" x14ac:dyDescent="0.35">
      <c r="A41" s="7" t="s">
        <v>122</v>
      </c>
      <c r="B41" s="8" t="s">
        <v>123</v>
      </c>
      <c r="C41" s="4" t="s">
        <v>23</v>
      </c>
      <c r="D41" s="4" t="s">
        <v>218</v>
      </c>
      <c r="E41" s="4" t="s">
        <v>219</v>
      </c>
      <c r="F41" s="4" t="s">
        <v>114</v>
      </c>
      <c r="G41" s="4" t="s">
        <v>220</v>
      </c>
      <c r="H41" s="5">
        <v>42668</v>
      </c>
      <c r="I41" s="25">
        <v>0.54166666666666663</v>
      </c>
      <c r="J41" s="25">
        <v>0.5625</v>
      </c>
      <c r="K41" s="4">
        <v>30</v>
      </c>
      <c r="L41" s="4" t="s">
        <v>519</v>
      </c>
      <c r="M41" s="4" t="s">
        <v>520</v>
      </c>
      <c r="N41" s="4">
        <v>1810056204</v>
      </c>
      <c r="O41" s="4" t="s">
        <v>44</v>
      </c>
      <c r="P41" s="12">
        <v>42661.555081018516</v>
      </c>
      <c r="Q41" s="4" t="s">
        <v>222</v>
      </c>
      <c r="R41" s="4" t="s">
        <v>519</v>
      </c>
      <c r="S41" s="4"/>
      <c r="T41" s="5">
        <v>42661</v>
      </c>
      <c r="U41" s="4" t="s">
        <v>223</v>
      </c>
      <c r="V41" s="4"/>
      <c r="W41" s="4"/>
      <c r="X41" s="4"/>
      <c r="Y41" s="4"/>
      <c r="Z41" s="4"/>
    </row>
    <row r="42" spans="1:26" hidden="1" x14ac:dyDescent="0.35">
      <c r="A42" s="11"/>
      <c r="B42" s="26" t="s">
        <v>52</v>
      </c>
      <c r="C42" s="4" t="s">
        <v>23</v>
      </c>
      <c r="D42" s="4" t="s">
        <v>317</v>
      </c>
      <c r="E42" s="4" t="s">
        <v>318</v>
      </c>
      <c r="F42" s="4" t="s">
        <v>319</v>
      </c>
      <c r="G42" s="4" t="s">
        <v>320</v>
      </c>
      <c r="H42" s="5">
        <v>42668</v>
      </c>
      <c r="I42" s="25">
        <v>0.54166666666666663</v>
      </c>
      <c r="J42" s="25">
        <v>0.5625</v>
      </c>
      <c r="K42" s="4">
        <v>30</v>
      </c>
      <c r="L42" s="4" t="s">
        <v>179</v>
      </c>
      <c r="M42" s="4" t="s">
        <v>521</v>
      </c>
      <c r="N42" s="4">
        <v>1810161400</v>
      </c>
      <c r="O42" s="4" t="s">
        <v>44</v>
      </c>
      <c r="P42" s="12">
        <v>42664.342152777775</v>
      </c>
      <c r="Q42" s="4" t="s">
        <v>522</v>
      </c>
      <c r="R42" s="4" t="s">
        <v>179</v>
      </c>
      <c r="S42" s="4"/>
      <c r="T42" s="5">
        <v>42664</v>
      </c>
      <c r="U42" s="4" t="s">
        <v>152</v>
      </c>
      <c r="V42" s="4"/>
      <c r="W42" s="4"/>
      <c r="X42" s="4"/>
      <c r="Y42" s="4"/>
      <c r="Z42" s="4"/>
    </row>
    <row r="43" spans="1:26" x14ac:dyDescent="0.35">
      <c r="A43" s="17"/>
      <c r="B43" s="8" t="s">
        <v>379</v>
      </c>
      <c r="C43" s="4" t="s">
        <v>23</v>
      </c>
      <c r="D43" s="4" t="s">
        <v>337</v>
      </c>
      <c r="E43" s="4" t="s">
        <v>338</v>
      </c>
      <c r="F43" s="4" t="s">
        <v>32</v>
      </c>
      <c r="G43" s="4" t="s">
        <v>339</v>
      </c>
      <c r="H43" s="5">
        <v>42668</v>
      </c>
      <c r="I43" s="24">
        <v>0.54166666666666663</v>
      </c>
      <c r="J43" s="25">
        <v>0.58333333333333337</v>
      </c>
      <c r="K43" s="4">
        <v>60</v>
      </c>
      <c r="L43" s="6" t="s">
        <v>120</v>
      </c>
      <c r="M43" s="4"/>
      <c r="N43" s="4"/>
      <c r="O43" s="4"/>
      <c r="P43" s="12"/>
      <c r="Q43" s="4"/>
      <c r="R43" s="4"/>
      <c r="S43" s="4"/>
      <c r="T43" s="5"/>
      <c r="U43" s="4"/>
      <c r="V43" s="4"/>
      <c r="W43" s="4"/>
      <c r="X43" s="4"/>
      <c r="Y43" s="4"/>
      <c r="Z43" s="4"/>
    </row>
    <row r="44" spans="1:26" hidden="1" x14ac:dyDescent="0.35">
      <c r="A44" s="2"/>
      <c r="B44" s="13" t="s">
        <v>52</v>
      </c>
      <c r="C44" s="4" t="s">
        <v>23</v>
      </c>
      <c r="D44" s="4" t="s">
        <v>272</v>
      </c>
      <c r="E44" s="4" t="s">
        <v>273</v>
      </c>
      <c r="F44" s="4" t="s">
        <v>274</v>
      </c>
      <c r="G44" s="4" t="s">
        <v>275</v>
      </c>
      <c r="H44" s="5">
        <v>42668</v>
      </c>
      <c r="I44" s="24">
        <v>0.54861111111111105</v>
      </c>
      <c r="J44" s="25">
        <v>0.58333333333333326</v>
      </c>
      <c r="K44" s="4">
        <v>50</v>
      </c>
      <c r="L44" s="14" t="s">
        <v>59</v>
      </c>
      <c r="M44" s="4" t="s">
        <v>321</v>
      </c>
      <c r="N44" s="4">
        <v>1808944697</v>
      </c>
      <c r="O44" s="4" t="s">
        <v>44</v>
      </c>
      <c r="P44" s="12">
        <v>42626.647928240738</v>
      </c>
      <c r="Q44" s="4"/>
      <c r="R44" s="4" t="s">
        <v>61</v>
      </c>
      <c r="S44" s="4" t="s">
        <v>153</v>
      </c>
      <c r="T44" s="5">
        <v>42626</v>
      </c>
      <c r="U44" s="4" t="s">
        <v>212</v>
      </c>
      <c r="V44" s="4" t="s">
        <v>17</v>
      </c>
      <c r="W44" s="4"/>
      <c r="X44" s="4"/>
      <c r="Y44" s="4"/>
      <c r="Z44" s="4"/>
    </row>
    <row r="45" spans="1:26" x14ac:dyDescent="0.35">
      <c r="A45" s="9"/>
      <c r="B45" s="8" t="s">
        <v>78</v>
      </c>
      <c r="C45" s="4" t="s">
        <v>23</v>
      </c>
      <c r="D45" s="4" t="s">
        <v>64</v>
      </c>
      <c r="E45" s="4" t="s">
        <v>65</v>
      </c>
      <c r="F45" s="4" t="s">
        <v>24</v>
      </c>
      <c r="G45" s="4" t="s">
        <v>66</v>
      </c>
      <c r="H45" s="5">
        <v>42668</v>
      </c>
      <c r="I45" s="25">
        <v>0.55208333333333337</v>
      </c>
      <c r="J45" s="25">
        <v>0.5625</v>
      </c>
      <c r="K45" s="4">
        <v>15</v>
      </c>
      <c r="L45" s="4" t="s">
        <v>107</v>
      </c>
      <c r="M45" s="4" t="s">
        <v>523</v>
      </c>
      <c r="N45" s="4">
        <v>1810261744</v>
      </c>
      <c r="O45" s="4" t="s">
        <v>44</v>
      </c>
      <c r="P45" s="12">
        <v>42668.339282407411</v>
      </c>
      <c r="Q45" s="4" t="s">
        <v>68</v>
      </c>
      <c r="R45" s="4" t="s">
        <v>109</v>
      </c>
      <c r="S45" s="4"/>
      <c r="T45" s="5">
        <v>42668</v>
      </c>
      <c r="U45" s="4" t="s">
        <v>524</v>
      </c>
      <c r="V45" s="4"/>
      <c r="W45" s="4"/>
      <c r="X45" s="4"/>
      <c r="Y45" s="4"/>
      <c r="Z45" s="4"/>
    </row>
    <row r="46" spans="1:26" x14ac:dyDescent="0.35">
      <c r="A46" s="2"/>
      <c r="B46" s="8" t="s">
        <v>346</v>
      </c>
      <c r="C46" s="4" t="s">
        <v>23</v>
      </c>
      <c r="D46" s="4" t="s">
        <v>245</v>
      </c>
      <c r="E46" s="4" t="s">
        <v>246</v>
      </c>
      <c r="F46" s="4" t="s">
        <v>41</v>
      </c>
      <c r="G46" s="4" t="s">
        <v>247</v>
      </c>
      <c r="H46" s="5">
        <v>42668</v>
      </c>
      <c r="I46" s="24">
        <v>0.5625</v>
      </c>
      <c r="J46" s="25">
        <v>0.58333333333333337</v>
      </c>
      <c r="K46" s="4">
        <v>30</v>
      </c>
      <c r="L46" s="6" t="s">
        <v>156</v>
      </c>
      <c r="M46" s="4" t="s">
        <v>50</v>
      </c>
      <c r="N46" s="4">
        <v>1809371764</v>
      </c>
      <c r="O46" s="4" t="s">
        <v>44</v>
      </c>
      <c r="P46" s="12">
        <v>42640.464675925927</v>
      </c>
      <c r="Q46" s="4"/>
      <c r="R46" s="4" t="s">
        <v>157</v>
      </c>
      <c r="S46" s="4"/>
      <c r="T46" s="5">
        <v>42640</v>
      </c>
      <c r="U46" s="4" t="s">
        <v>248</v>
      </c>
      <c r="V46" s="4"/>
      <c r="W46" s="4"/>
      <c r="X46" s="4"/>
      <c r="Y46" s="4"/>
      <c r="Z46" s="4"/>
    </row>
    <row r="47" spans="1:26" hidden="1" x14ac:dyDescent="0.35">
      <c r="A47" s="2"/>
      <c r="B47" s="13" t="s">
        <v>52</v>
      </c>
      <c r="C47" s="4" t="s">
        <v>23</v>
      </c>
      <c r="D47" s="4" t="s">
        <v>409</v>
      </c>
      <c r="E47" s="4" t="s">
        <v>410</v>
      </c>
      <c r="F47" s="4" t="s">
        <v>37</v>
      </c>
      <c r="G47" s="4" t="s">
        <v>411</v>
      </c>
      <c r="H47" s="5">
        <v>42668</v>
      </c>
      <c r="I47" s="24">
        <v>0.5625</v>
      </c>
      <c r="J47" s="25">
        <v>0.58333333333333337</v>
      </c>
      <c r="K47" s="4">
        <v>30</v>
      </c>
      <c r="L47" s="6" t="s">
        <v>156</v>
      </c>
      <c r="M47" s="4" t="s">
        <v>50</v>
      </c>
      <c r="N47" s="4">
        <v>1809737876</v>
      </c>
      <c r="O47" s="4" t="s">
        <v>44</v>
      </c>
      <c r="P47" s="12">
        <v>42650.61209490741</v>
      </c>
      <c r="Q47" s="4" t="s">
        <v>412</v>
      </c>
      <c r="R47" s="4" t="s">
        <v>157</v>
      </c>
      <c r="S47" s="4"/>
      <c r="T47" s="5">
        <v>42650</v>
      </c>
      <c r="U47" s="4" t="s">
        <v>248</v>
      </c>
      <c r="V47" s="4"/>
      <c r="W47" s="4"/>
      <c r="X47" s="4"/>
      <c r="Y47" s="4"/>
      <c r="Z47" s="4"/>
    </row>
    <row r="48" spans="1:26" x14ac:dyDescent="0.35">
      <c r="A48" s="17" t="s">
        <v>324</v>
      </c>
      <c r="B48" s="8" t="s">
        <v>29</v>
      </c>
      <c r="C48" s="4" t="s">
        <v>23</v>
      </c>
      <c r="D48" s="4" t="s">
        <v>525</v>
      </c>
      <c r="E48" s="4" t="s">
        <v>526</v>
      </c>
      <c r="F48" s="4" t="s">
        <v>32</v>
      </c>
      <c r="G48" s="4" t="s">
        <v>527</v>
      </c>
      <c r="H48" s="5">
        <v>42668</v>
      </c>
      <c r="I48" s="24">
        <v>0.5625</v>
      </c>
      <c r="J48" s="25">
        <v>0.57291666666666663</v>
      </c>
      <c r="K48" s="4">
        <v>15</v>
      </c>
      <c r="L48" s="6" t="s">
        <v>115</v>
      </c>
      <c r="M48" s="4" t="s">
        <v>241</v>
      </c>
      <c r="N48" s="4">
        <v>1809445262</v>
      </c>
      <c r="O48" s="4" t="s">
        <v>44</v>
      </c>
      <c r="P48" s="12">
        <v>42642.343622685185</v>
      </c>
      <c r="Q48" s="4" t="s">
        <v>528</v>
      </c>
      <c r="R48" s="4" t="s">
        <v>115</v>
      </c>
      <c r="S48" s="4"/>
      <c r="T48" s="5">
        <v>42642</v>
      </c>
      <c r="U48" s="4" t="s">
        <v>493</v>
      </c>
      <c r="V48" s="4"/>
      <c r="W48" s="4"/>
      <c r="X48" s="4"/>
      <c r="Y48" s="4"/>
      <c r="Z48" s="4"/>
    </row>
    <row r="49" spans="1:26" x14ac:dyDescent="0.35">
      <c r="A49" s="7" t="s">
        <v>324</v>
      </c>
      <c r="B49" s="8" t="s">
        <v>184</v>
      </c>
      <c r="C49" s="4" t="s">
        <v>23</v>
      </c>
      <c r="D49" s="4" t="s">
        <v>509</v>
      </c>
      <c r="E49" s="4" t="s">
        <v>510</v>
      </c>
      <c r="F49" s="4" t="s">
        <v>32</v>
      </c>
      <c r="G49" s="4" t="s">
        <v>511</v>
      </c>
      <c r="H49" s="5">
        <v>42668</v>
      </c>
      <c r="I49" s="24">
        <v>0.5625</v>
      </c>
      <c r="J49" s="25">
        <v>0.66666666666666663</v>
      </c>
      <c r="K49" s="4">
        <v>150</v>
      </c>
      <c r="L49" s="6" t="s">
        <v>115</v>
      </c>
      <c r="M49" s="4" t="s">
        <v>116</v>
      </c>
      <c r="N49" s="4">
        <v>1809602960</v>
      </c>
      <c r="O49" s="4" t="s">
        <v>44</v>
      </c>
      <c r="P49" s="12">
        <v>42647.584791666668</v>
      </c>
      <c r="Q49" s="4" t="s">
        <v>512</v>
      </c>
      <c r="R49" s="4" t="s">
        <v>115</v>
      </c>
      <c r="S49" s="4"/>
      <c r="T49" s="5">
        <v>42647</v>
      </c>
      <c r="U49" s="4" t="s">
        <v>277</v>
      </c>
      <c r="V49" s="4"/>
      <c r="W49" s="4"/>
      <c r="X49" s="4"/>
      <c r="Y49" s="4"/>
      <c r="Z49" s="4"/>
    </row>
    <row r="50" spans="1:26" x14ac:dyDescent="0.35">
      <c r="A50" s="9"/>
      <c r="B50" s="8" t="s">
        <v>57</v>
      </c>
      <c r="C50" s="4" t="s">
        <v>23</v>
      </c>
      <c r="D50" s="4" t="s">
        <v>458</v>
      </c>
      <c r="E50" s="4" t="s">
        <v>459</v>
      </c>
      <c r="F50" s="4" t="s">
        <v>24</v>
      </c>
      <c r="G50" s="4" t="s">
        <v>267</v>
      </c>
      <c r="H50" s="5">
        <v>42668</v>
      </c>
      <c r="I50" s="25">
        <v>0.57291666666666663</v>
      </c>
      <c r="J50" s="25">
        <v>0.58333333333333337</v>
      </c>
      <c r="K50" s="4">
        <v>15</v>
      </c>
      <c r="L50" s="4" t="s">
        <v>107</v>
      </c>
      <c r="M50" s="4" t="s">
        <v>529</v>
      </c>
      <c r="N50" s="4">
        <v>1810161998</v>
      </c>
      <c r="O50" s="4" t="s">
        <v>44</v>
      </c>
      <c r="P50" s="12">
        <v>42664.351423611108</v>
      </c>
      <c r="Q50" s="4"/>
      <c r="R50" s="4" t="s">
        <v>530</v>
      </c>
      <c r="S50" s="4"/>
      <c r="T50" s="5">
        <v>42664</v>
      </c>
      <c r="U50" s="4" t="s">
        <v>36</v>
      </c>
      <c r="V50" s="4"/>
      <c r="W50" s="4"/>
      <c r="X50" s="4"/>
      <c r="Y50" s="4"/>
      <c r="Z50" s="4"/>
    </row>
    <row r="51" spans="1:26" hidden="1" x14ac:dyDescent="0.35">
      <c r="A51" s="4"/>
      <c r="B51" s="10" t="s">
        <v>103</v>
      </c>
      <c r="C51" s="4" t="s">
        <v>23</v>
      </c>
      <c r="D51" s="4" t="s">
        <v>272</v>
      </c>
      <c r="E51" s="4" t="s">
        <v>273</v>
      </c>
      <c r="F51" s="4" t="s">
        <v>274</v>
      </c>
      <c r="G51" s="4" t="s">
        <v>275</v>
      </c>
      <c r="H51" s="5">
        <v>42668</v>
      </c>
      <c r="I51" s="24">
        <v>0.58333333333333337</v>
      </c>
      <c r="J51" s="25">
        <v>0.59375</v>
      </c>
      <c r="K51" s="4">
        <v>15</v>
      </c>
      <c r="L51" s="14" t="s">
        <v>93</v>
      </c>
      <c r="M51" s="4" t="s">
        <v>276</v>
      </c>
      <c r="N51" s="4">
        <v>1808944698</v>
      </c>
      <c r="O51" s="4" t="s">
        <v>44</v>
      </c>
      <c r="P51" s="12">
        <v>42626.647928240738</v>
      </c>
      <c r="Q51" s="4"/>
      <c r="R51" s="4" t="s">
        <v>93</v>
      </c>
      <c r="S51" s="4"/>
      <c r="T51" s="5">
        <v>42626</v>
      </c>
      <c r="U51" s="4" t="s">
        <v>212</v>
      </c>
      <c r="V51" s="4"/>
      <c r="W51" s="4"/>
      <c r="X51" s="4"/>
      <c r="Y51" s="4"/>
      <c r="Z51" s="4"/>
    </row>
    <row r="52" spans="1:26" x14ac:dyDescent="0.35">
      <c r="A52" s="17" t="s">
        <v>324</v>
      </c>
      <c r="B52" s="8" t="s">
        <v>29</v>
      </c>
      <c r="C52" s="4" t="s">
        <v>23</v>
      </c>
      <c r="D52" s="4" t="s">
        <v>525</v>
      </c>
      <c r="E52" s="4" t="s">
        <v>526</v>
      </c>
      <c r="F52" s="4" t="s">
        <v>32</v>
      </c>
      <c r="G52" s="4" t="s">
        <v>527</v>
      </c>
      <c r="H52" s="5">
        <v>42668</v>
      </c>
      <c r="I52" s="24">
        <v>0.58333333333333337</v>
      </c>
      <c r="J52" s="25">
        <v>0.59027777777777779</v>
      </c>
      <c r="K52" s="4">
        <v>10</v>
      </c>
      <c r="L52" s="6" t="s">
        <v>74</v>
      </c>
      <c r="M52" s="4" t="s">
        <v>215</v>
      </c>
      <c r="N52" s="4">
        <v>1809445261</v>
      </c>
      <c r="O52" s="4" t="s">
        <v>44</v>
      </c>
      <c r="P52" s="12">
        <v>42642.343622685185</v>
      </c>
      <c r="Q52" s="4" t="s">
        <v>528</v>
      </c>
      <c r="R52" s="4" t="s">
        <v>76</v>
      </c>
      <c r="S52" s="4"/>
      <c r="T52" s="5">
        <v>42642</v>
      </c>
      <c r="U52" s="4" t="s">
        <v>493</v>
      </c>
      <c r="V52" s="4"/>
      <c r="W52" s="4"/>
      <c r="X52" s="4"/>
      <c r="Y52" s="4"/>
      <c r="Z52" s="4"/>
    </row>
    <row r="53" spans="1:26" x14ac:dyDescent="0.35">
      <c r="A53" s="11" t="s">
        <v>324</v>
      </c>
      <c r="B53" s="8" t="s">
        <v>379</v>
      </c>
      <c r="C53" s="4" t="s">
        <v>23</v>
      </c>
      <c r="D53" s="4" t="s">
        <v>337</v>
      </c>
      <c r="E53" s="4" t="s">
        <v>338</v>
      </c>
      <c r="F53" s="4" t="s">
        <v>32</v>
      </c>
      <c r="G53" s="4" t="s">
        <v>339</v>
      </c>
      <c r="H53" s="5">
        <v>42668</v>
      </c>
      <c r="I53" s="25">
        <v>0.58333333333333337</v>
      </c>
      <c r="J53" s="25">
        <v>0.60416666666666674</v>
      </c>
      <c r="K53" s="4">
        <v>30</v>
      </c>
      <c r="L53" s="4" t="s">
        <v>110</v>
      </c>
      <c r="M53" s="4" t="s">
        <v>447</v>
      </c>
      <c r="N53" s="4">
        <v>1810250076</v>
      </c>
      <c r="O53" s="4" t="s">
        <v>44</v>
      </c>
      <c r="P53" s="12">
        <v>42667.645439814813</v>
      </c>
      <c r="Q53" s="4" t="s">
        <v>531</v>
      </c>
      <c r="R53" s="4" t="s">
        <v>110</v>
      </c>
      <c r="S53" s="4"/>
      <c r="T53" s="5">
        <v>42667</v>
      </c>
      <c r="U53" s="4" t="s">
        <v>382</v>
      </c>
      <c r="V53" s="4"/>
      <c r="W53" s="4"/>
      <c r="X53" s="4"/>
      <c r="Y53" s="4"/>
      <c r="Z53" s="4"/>
    </row>
    <row r="54" spans="1:26" x14ac:dyDescent="0.35">
      <c r="A54" s="9"/>
      <c r="B54" s="8" t="s">
        <v>57</v>
      </c>
      <c r="C54" s="4" t="s">
        <v>23</v>
      </c>
      <c r="D54" s="4" t="s">
        <v>458</v>
      </c>
      <c r="E54" s="4" t="s">
        <v>459</v>
      </c>
      <c r="F54" s="4" t="s">
        <v>24</v>
      </c>
      <c r="G54" s="4" t="s">
        <v>267</v>
      </c>
      <c r="H54" s="5">
        <v>42668</v>
      </c>
      <c r="I54" s="25">
        <v>0.58333333333333337</v>
      </c>
      <c r="J54" s="25">
        <v>0.625</v>
      </c>
      <c r="K54" s="4">
        <v>60</v>
      </c>
      <c r="L54" s="4" t="s">
        <v>107</v>
      </c>
      <c r="M54" s="4"/>
      <c r="N54" s="4"/>
      <c r="O54" s="4"/>
      <c r="P54" s="12"/>
      <c r="Q54" s="4"/>
      <c r="R54" s="4"/>
      <c r="S54" s="4"/>
      <c r="T54" s="5"/>
      <c r="U54" s="4"/>
      <c r="V54" s="4"/>
      <c r="W54" s="4"/>
      <c r="X54" s="4"/>
      <c r="Y54" s="4"/>
      <c r="Z54" s="4"/>
    </row>
    <row r="55" spans="1:26" hidden="1" x14ac:dyDescent="0.35">
      <c r="A55" s="2"/>
      <c r="B55" s="3" t="s">
        <v>22</v>
      </c>
      <c r="C55" s="4" t="s">
        <v>23</v>
      </c>
      <c r="D55" s="4" t="s">
        <v>532</v>
      </c>
      <c r="E55" s="4" t="s">
        <v>533</v>
      </c>
      <c r="F55" s="4" t="s">
        <v>24</v>
      </c>
      <c r="G55" s="4" t="s">
        <v>534</v>
      </c>
      <c r="H55" s="5">
        <v>42668</v>
      </c>
      <c r="I55" s="24">
        <v>0.59375</v>
      </c>
      <c r="J55" s="25">
        <v>0.60416666666666663</v>
      </c>
      <c r="K55" s="4">
        <v>15</v>
      </c>
      <c r="L55" s="6" t="s">
        <v>25</v>
      </c>
      <c r="M55" s="4" t="s">
        <v>25</v>
      </c>
      <c r="N55" s="4">
        <v>1809173534</v>
      </c>
      <c r="O55" s="4" t="s">
        <v>44</v>
      </c>
      <c r="P55" s="12">
        <v>42633.653449074074</v>
      </c>
      <c r="Q55" s="4"/>
      <c r="R55" s="4" t="s">
        <v>25</v>
      </c>
      <c r="S55" s="4"/>
      <c r="T55" s="5">
        <v>42633</v>
      </c>
      <c r="U55" s="4" t="s">
        <v>439</v>
      </c>
      <c r="V55" s="4"/>
      <c r="W55" s="4"/>
      <c r="X55" s="4"/>
      <c r="Y55" s="4"/>
      <c r="Z55" s="4"/>
    </row>
    <row r="56" spans="1:26" x14ac:dyDescent="0.35">
      <c r="A56" s="17" t="s">
        <v>324</v>
      </c>
      <c r="B56" s="8" t="s">
        <v>29</v>
      </c>
      <c r="C56" s="4" t="s">
        <v>23</v>
      </c>
      <c r="D56" s="4" t="s">
        <v>525</v>
      </c>
      <c r="E56" s="4" t="s">
        <v>526</v>
      </c>
      <c r="F56" s="4" t="s">
        <v>32</v>
      </c>
      <c r="G56" s="4" t="s">
        <v>527</v>
      </c>
      <c r="H56" s="5">
        <v>42668</v>
      </c>
      <c r="I56" s="25">
        <v>0.59722222222222221</v>
      </c>
      <c r="J56" s="25">
        <v>0.625</v>
      </c>
      <c r="K56" s="4">
        <v>40</v>
      </c>
      <c r="L56" s="6" t="s">
        <v>74</v>
      </c>
      <c r="M56" s="4" t="s">
        <v>91</v>
      </c>
      <c r="N56" s="4">
        <v>1809445260</v>
      </c>
      <c r="O56" s="4" t="s">
        <v>44</v>
      </c>
      <c r="P56" s="12">
        <v>42642.343622685185</v>
      </c>
      <c r="Q56" s="4" t="s">
        <v>528</v>
      </c>
      <c r="R56" s="4" t="s">
        <v>92</v>
      </c>
      <c r="S56" s="4"/>
      <c r="T56" s="5">
        <v>42642</v>
      </c>
      <c r="U56" s="4" t="s">
        <v>493</v>
      </c>
      <c r="V56" s="4"/>
      <c r="W56" s="4"/>
      <c r="X56" s="4"/>
      <c r="Y56" s="4"/>
      <c r="Z56" s="4"/>
    </row>
    <row r="57" spans="1:26" x14ac:dyDescent="0.35">
      <c r="A57" s="2"/>
      <c r="B57" s="8" t="s">
        <v>346</v>
      </c>
      <c r="C57" s="4" t="s">
        <v>23</v>
      </c>
      <c r="D57" s="4" t="s">
        <v>245</v>
      </c>
      <c r="E57" s="4" t="s">
        <v>246</v>
      </c>
      <c r="F57" s="4" t="s">
        <v>41</v>
      </c>
      <c r="G57" s="4" t="s">
        <v>247</v>
      </c>
      <c r="H57" s="5">
        <v>42668</v>
      </c>
      <c r="I57" s="24">
        <v>0.60416666666666663</v>
      </c>
      <c r="J57" s="25">
        <v>0.8125</v>
      </c>
      <c r="K57" s="4">
        <v>300</v>
      </c>
      <c r="L57" s="6" t="s">
        <v>26</v>
      </c>
      <c r="M57" s="4" t="s">
        <v>535</v>
      </c>
      <c r="N57" s="4">
        <v>1809371763</v>
      </c>
      <c r="O57" s="4" t="s">
        <v>44</v>
      </c>
      <c r="P57" s="12">
        <v>42640.464675925927</v>
      </c>
      <c r="Q57" s="4"/>
      <c r="R57" s="4" t="s">
        <v>27</v>
      </c>
      <c r="S57" s="4"/>
      <c r="T57" s="5">
        <v>42640</v>
      </c>
      <c r="U57" s="4" t="s">
        <v>248</v>
      </c>
      <c r="V57" s="4"/>
      <c r="W57" s="4"/>
      <c r="X57" s="4"/>
      <c r="Y57" s="4"/>
      <c r="Z57" s="4"/>
    </row>
    <row r="58" spans="1:26" x14ac:dyDescent="0.35">
      <c r="A58" s="7" t="s">
        <v>536</v>
      </c>
      <c r="B58" s="8" t="s">
        <v>373</v>
      </c>
      <c r="C58" s="4" t="s">
        <v>23</v>
      </c>
      <c r="D58" s="4" t="s">
        <v>537</v>
      </c>
      <c r="E58" s="4" t="s">
        <v>538</v>
      </c>
      <c r="F58" s="4" t="s">
        <v>32</v>
      </c>
      <c r="G58" s="4" t="s">
        <v>539</v>
      </c>
      <c r="H58" s="5">
        <v>42668</v>
      </c>
      <c r="I58" s="24">
        <v>0.61111111111111105</v>
      </c>
      <c r="J58" s="25">
        <v>0.64583333333333326</v>
      </c>
      <c r="K58" s="4">
        <v>50</v>
      </c>
      <c r="L58" s="14" t="s">
        <v>59</v>
      </c>
      <c r="M58" s="4" t="s">
        <v>321</v>
      </c>
      <c r="N58" s="4">
        <v>1809388993</v>
      </c>
      <c r="O58" s="4" t="s">
        <v>96</v>
      </c>
      <c r="P58" s="12">
        <v>42640.633310185185</v>
      </c>
      <c r="Q58" s="4" t="s">
        <v>540</v>
      </c>
      <c r="R58" s="4" t="s">
        <v>61</v>
      </c>
      <c r="S58" s="4"/>
      <c r="T58" s="5">
        <v>42640</v>
      </c>
      <c r="U58" s="4" t="s">
        <v>281</v>
      </c>
      <c r="V58" s="4"/>
      <c r="W58" s="4"/>
      <c r="X58" s="4"/>
      <c r="Y58" s="4"/>
      <c r="Z58" s="4"/>
    </row>
    <row r="59" spans="1:26" hidden="1" x14ac:dyDescent="0.35">
      <c r="A59" s="9"/>
      <c r="B59" s="3" t="s">
        <v>22</v>
      </c>
      <c r="C59" s="4" t="s">
        <v>23</v>
      </c>
      <c r="D59" s="4" t="s">
        <v>417</v>
      </c>
      <c r="E59" s="4" t="s">
        <v>418</v>
      </c>
      <c r="F59" s="4" t="s">
        <v>114</v>
      </c>
      <c r="G59" s="4" t="s">
        <v>419</v>
      </c>
      <c r="H59" s="5">
        <v>42668</v>
      </c>
      <c r="I59" s="25">
        <v>0.61111111111111105</v>
      </c>
      <c r="J59" s="25">
        <v>0.62499999999999989</v>
      </c>
      <c r="K59" s="4">
        <v>20</v>
      </c>
      <c r="L59" s="4" t="s">
        <v>42</v>
      </c>
      <c r="M59" s="4" t="s">
        <v>43</v>
      </c>
      <c r="N59" s="4">
        <v>1810197796</v>
      </c>
      <c r="O59" s="4" t="s">
        <v>44</v>
      </c>
      <c r="P59" s="12">
        <v>42664.705046296294</v>
      </c>
      <c r="Q59" s="4" t="s">
        <v>420</v>
      </c>
      <c r="R59" s="4" t="s">
        <v>42</v>
      </c>
      <c r="S59" s="4"/>
      <c r="T59" s="5">
        <v>42664</v>
      </c>
      <c r="U59" s="4" t="s">
        <v>421</v>
      </c>
      <c r="V59" s="4"/>
      <c r="W59" s="4"/>
      <c r="X59" s="4"/>
      <c r="Y59" s="4"/>
      <c r="Z59" s="4"/>
    </row>
    <row r="60" spans="1:26" x14ac:dyDescent="0.35">
      <c r="A60" s="17" t="s">
        <v>324</v>
      </c>
      <c r="B60" s="8" t="s">
        <v>394</v>
      </c>
      <c r="C60" s="4" t="s">
        <v>23</v>
      </c>
      <c r="D60" s="4" t="s">
        <v>513</v>
      </c>
      <c r="E60" s="4" t="s">
        <v>514</v>
      </c>
      <c r="F60" s="4" t="s">
        <v>32</v>
      </c>
      <c r="G60" s="4" t="s">
        <v>515</v>
      </c>
      <c r="H60" s="5">
        <v>42668</v>
      </c>
      <c r="I60" s="24">
        <v>0.61111111111111105</v>
      </c>
      <c r="J60" s="25">
        <v>0.61805555555555547</v>
      </c>
      <c r="K60" s="4">
        <v>10</v>
      </c>
      <c r="L60" s="6" t="s">
        <v>74</v>
      </c>
      <c r="M60" s="4" t="s">
        <v>215</v>
      </c>
      <c r="N60" s="4">
        <v>1809651655</v>
      </c>
      <c r="O60" s="4" t="s">
        <v>44</v>
      </c>
      <c r="P60" s="12">
        <v>42648.651585648149</v>
      </c>
      <c r="Q60" s="4" t="s">
        <v>516</v>
      </c>
      <c r="R60" s="4" t="s">
        <v>76</v>
      </c>
      <c r="S60" s="4"/>
      <c r="T60" s="5">
        <v>42648</v>
      </c>
      <c r="U60" s="4" t="s">
        <v>158</v>
      </c>
      <c r="V60" s="4"/>
      <c r="W60" s="4"/>
      <c r="X60" s="4"/>
      <c r="Y60" s="4"/>
      <c r="Z60" s="4"/>
    </row>
    <row r="61" spans="1:26" x14ac:dyDescent="0.35">
      <c r="A61" s="7" t="s">
        <v>541</v>
      </c>
      <c r="B61" s="8" t="s">
        <v>542</v>
      </c>
      <c r="C61" s="4" t="s">
        <v>23</v>
      </c>
      <c r="D61" s="4" t="s">
        <v>543</v>
      </c>
      <c r="E61" s="4" t="s">
        <v>544</v>
      </c>
      <c r="F61" s="4" t="s">
        <v>545</v>
      </c>
      <c r="G61" s="4" t="s">
        <v>546</v>
      </c>
      <c r="H61" s="5">
        <v>42668</v>
      </c>
      <c r="I61" s="24">
        <v>0.61458333333333337</v>
      </c>
      <c r="J61" s="25">
        <v>0.65625</v>
      </c>
      <c r="K61" s="4">
        <v>60</v>
      </c>
      <c r="L61" s="6" t="s">
        <v>149</v>
      </c>
      <c r="M61" s="4" t="s">
        <v>547</v>
      </c>
      <c r="N61" s="4">
        <v>1808828758</v>
      </c>
      <c r="O61" s="4" t="s">
        <v>44</v>
      </c>
      <c r="P61" s="12">
        <v>42622.629583333335</v>
      </c>
      <c r="Q61" s="4" t="s">
        <v>548</v>
      </c>
      <c r="R61" s="4" t="s">
        <v>549</v>
      </c>
      <c r="S61" s="4"/>
      <c r="T61" s="5">
        <v>42622</v>
      </c>
      <c r="U61" s="4" t="s">
        <v>279</v>
      </c>
      <c r="V61" s="4"/>
      <c r="W61" s="4"/>
      <c r="X61" s="4"/>
      <c r="Y61" s="4"/>
      <c r="Z61" s="4"/>
    </row>
    <row r="62" spans="1:26" x14ac:dyDescent="0.35">
      <c r="A62" s="17" t="s">
        <v>324</v>
      </c>
      <c r="B62" s="8" t="s">
        <v>394</v>
      </c>
      <c r="C62" s="4" t="s">
        <v>23</v>
      </c>
      <c r="D62" s="4" t="s">
        <v>513</v>
      </c>
      <c r="E62" s="4" t="s">
        <v>514</v>
      </c>
      <c r="F62" s="4" t="s">
        <v>32</v>
      </c>
      <c r="G62" s="4" t="s">
        <v>515</v>
      </c>
      <c r="H62" s="5">
        <v>42668</v>
      </c>
      <c r="I62" s="24">
        <v>0.61805555555555558</v>
      </c>
      <c r="J62" s="25">
        <v>0.64583333333333337</v>
      </c>
      <c r="K62" s="4">
        <v>40</v>
      </c>
      <c r="L62" s="6" t="s">
        <v>74</v>
      </c>
      <c r="M62" s="4" t="s">
        <v>91</v>
      </c>
      <c r="N62" s="4">
        <v>1809651652</v>
      </c>
      <c r="O62" s="4" t="s">
        <v>44</v>
      </c>
      <c r="P62" s="12">
        <v>42648.651585648149</v>
      </c>
      <c r="Q62" s="4" t="s">
        <v>516</v>
      </c>
      <c r="R62" s="4" t="s">
        <v>92</v>
      </c>
      <c r="S62" s="4"/>
      <c r="T62" s="5">
        <v>42648</v>
      </c>
      <c r="U62" s="4" t="s">
        <v>158</v>
      </c>
      <c r="V62" s="4"/>
      <c r="W62" s="4"/>
      <c r="X62" s="4"/>
      <c r="Y62" s="4"/>
      <c r="Z62" s="4"/>
    </row>
    <row r="63" spans="1:26" x14ac:dyDescent="0.35">
      <c r="A63" s="2"/>
      <c r="B63" s="8" t="s">
        <v>57</v>
      </c>
      <c r="C63" s="4" t="s">
        <v>23</v>
      </c>
      <c r="D63" s="4" t="s">
        <v>458</v>
      </c>
      <c r="E63" s="4" t="s">
        <v>459</v>
      </c>
      <c r="F63" s="4" t="s">
        <v>24</v>
      </c>
      <c r="G63" s="4" t="s">
        <v>267</v>
      </c>
      <c r="H63" s="5">
        <v>42668</v>
      </c>
      <c r="I63" s="24">
        <v>0.625</v>
      </c>
      <c r="J63" s="25">
        <v>0.64583333333333337</v>
      </c>
      <c r="K63" s="4">
        <v>30</v>
      </c>
      <c r="L63" s="4" t="s">
        <v>107</v>
      </c>
      <c r="M63" s="4"/>
      <c r="N63" s="4"/>
      <c r="O63" s="4"/>
      <c r="P63" s="12"/>
      <c r="Q63" s="4"/>
      <c r="R63" s="4"/>
      <c r="S63" s="4"/>
      <c r="T63" s="5"/>
      <c r="U63" s="4"/>
      <c r="V63" s="4"/>
      <c r="W63" s="4"/>
      <c r="X63" s="4"/>
      <c r="Y63" s="4"/>
      <c r="Z63" s="4"/>
    </row>
    <row r="64" spans="1:26" x14ac:dyDescent="0.35">
      <c r="A64" s="9"/>
      <c r="B64" s="30" t="s">
        <v>217</v>
      </c>
      <c r="C64" s="4" t="s">
        <v>23</v>
      </c>
      <c r="D64" s="4" t="s">
        <v>417</v>
      </c>
      <c r="E64" s="4" t="s">
        <v>418</v>
      </c>
      <c r="F64" s="4" t="s">
        <v>114</v>
      </c>
      <c r="G64" s="4" t="s">
        <v>419</v>
      </c>
      <c r="H64" s="5">
        <v>42668</v>
      </c>
      <c r="I64" s="25">
        <v>0.64583333333333337</v>
      </c>
      <c r="J64" s="25">
        <v>0.66666666666666674</v>
      </c>
      <c r="K64" s="4">
        <v>30</v>
      </c>
      <c r="L64" s="4" t="s">
        <v>156</v>
      </c>
      <c r="M64" s="4" t="s">
        <v>50</v>
      </c>
      <c r="N64" s="4">
        <v>1810197760</v>
      </c>
      <c r="O64" s="4" t="s">
        <v>44</v>
      </c>
      <c r="P64" s="12">
        <v>42664.70453703704</v>
      </c>
      <c r="Q64" s="4" t="s">
        <v>420</v>
      </c>
      <c r="R64" s="4" t="s">
        <v>157</v>
      </c>
      <c r="S64" s="4"/>
      <c r="T64" s="5">
        <v>42664</v>
      </c>
      <c r="U64" s="4" t="s">
        <v>421</v>
      </c>
      <c r="V64" s="4"/>
      <c r="W64" s="4"/>
      <c r="X64" s="4"/>
      <c r="Y64" s="4"/>
      <c r="Z64" s="4"/>
    </row>
    <row r="65" spans="1:26" x14ac:dyDescent="0.35">
      <c r="A65" s="7" t="s">
        <v>536</v>
      </c>
      <c r="B65" s="8" t="s">
        <v>373</v>
      </c>
      <c r="C65" s="4" t="s">
        <v>23</v>
      </c>
      <c r="D65" s="4" t="s">
        <v>537</v>
      </c>
      <c r="E65" s="4" t="s">
        <v>538</v>
      </c>
      <c r="F65" s="4" t="s">
        <v>32</v>
      </c>
      <c r="G65" s="4" t="s">
        <v>539</v>
      </c>
      <c r="H65" s="5">
        <v>42668</v>
      </c>
      <c r="I65" s="24">
        <v>0.64583333333333337</v>
      </c>
      <c r="J65" s="25">
        <v>0.6875</v>
      </c>
      <c r="K65" s="4">
        <v>60</v>
      </c>
      <c r="L65" s="14" t="s">
        <v>93</v>
      </c>
      <c r="M65" s="4" t="s">
        <v>94</v>
      </c>
      <c r="N65" s="4">
        <v>1809388994</v>
      </c>
      <c r="O65" s="4" t="s">
        <v>96</v>
      </c>
      <c r="P65" s="12">
        <v>42640.633310185185</v>
      </c>
      <c r="Q65" s="4" t="s">
        <v>540</v>
      </c>
      <c r="R65" s="4" t="s">
        <v>95</v>
      </c>
      <c r="S65" s="4" t="s">
        <v>51</v>
      </c>
      <c r="T65" s="5">
        <v>42640</v>
      </c>
      <c r="U65" s="4" t="s">
        <v>281</v>
      </c>
      <c r="V65" s="4" t="s">
        <v>17</v>
      </c>
      <c r="W65" s="4"/>
      <c r="X65" s="4"/>
      <c r="Y65" s="4"/>
      <c r="Z65" s="4"/>
    </row>
    <row r="66" spans="1:26" x14ac:dyDescent="0.35">
      <c r="A66" s="2"/>
      <c r="B66" s="8" t="s">
        <v>235</v>
      </c>
      <c r="C66" s="4" t="s">
        <v>23</v>
      </c>
      <c r="D66" s="4" t="s">
        <v>532</v>
      </c>
      <c r="E66" s="4" t="s">
        <v>533</v>
      </c>
      <c r="F66" s="4" t="s">
        <v>24</v>
      </c>
      <c r="G66" s="4" t="s">
        <v>534</v>
      </c>
      <c r="H66" s="5">
        <v>42668</v>
      </c>
      <c r="I66" s="24">
        <v>0.64583333333333337</v>
      </c>
      <c r="J66" s="25">
        <v>0.66666666666666674</v>
      </c>
      <c r="K66" s="4">
        <v>30</v>
      </c>
      <c r="L66" s="6" t="s">
        <v>156</v>
      </c>
      <c r="M66" s="4" t="s">
        <v>50</v>
      </c>
      <c r="N66" s="4">
        <v>1809173537</v>
      </c>
      <c r="O66" s="4" t="s">
        <v>44</v>
      </c>
      <c r="P66" s="12">
        <v>42633.653460648151</v>
      </c>
      <c r="Q66" s="4"/>
      <c r="R66" s="4" t="s">
        <v>157</v>
      </c>
      <c r="S66" s="4"/>
      <c r="T66" s="5">
        <v>42633</v>
      </c>
      <c r="U66" s="4" t="s">
        <v>439</v>
      </c>
      <c r="V66" s="4"/>
      <c r="W66" s="4"/>
      <c r="X66" s="4"/>
      <c r="Y66" s="4"/>
      <c r="Z66" s="4"/>
    </row>
    <row r="67" spans="1:26" x14ac:dyDescent="0.35">
      <c r="A67" s="7" t="s">
        <v>541</v>
      </c>
      <c r="B67" s="8" t="s">
        <v>542</v>
      </c>
      <c r="C67" s="4" t="s">
        <v>23</v>
      </c>
      <c r="D67" s="4" t="s">
        <v>543</v>
      </c>
      <c r="E67" s="4" t="s">
        <v>544</v>
      </c>
      <c r="F67" s="4" t="s">
        <v>545</v>
      </c>
      <c r="G67" s="4" t="s">
        <v>546</v>
      </c>
      <c r="H67" s="5">
        <v>42668</v>
      </c>
      <c r="I67" s="24">
        <v>0.65625</v>
      </c>
      <c r="J67" s="25">
        <v>0.67708333333333337</v>
      </c>
      <c r="K67" s="4">
        <v>30</v>
      </c>
      <c r="L67" s="6" t="s">
        <v>107</v>
      </c>
      <c r="M67" s="4" t="s">
        <v>550</v>
      </c>
      <c r="N67" s="4">
        <v>1808828794</v>
      </c>
      <c r="O67" s="4" t="s">
        <v>44</v>
      </c>
      <c r="P67" s="12">
        <v>42622.629884259259</v>
      </c>
      <c r="Q67" s="4" t="s">
        <v>548</v>
      </c>
      <c r="R67" s="4" t="s">
        <v>109</v>
      </c>
      <c r="S67" s="4"/>
      <c r="T67" s="5">
        <v>42622</v>
      </c>
      <c r="U67" s="4" t="s">
        <v>279</v>
      </c>
      <c r="V67" s="4"/>
      <c r="W67" s="4"/>
      <c r="X67" s="4"/>
      <c r="Y67" s="4"/>
      <c r="Z67" s="4"/>
    </row>
    <row r="68" spans="1:26" x14ac:dyDescent="0.35">
      <c r="A68" s="2"/>
      <c r="B68" s="8" t="s">
        <v>397</v>
      </c>
      <c r="C68" s="4" t="s">
        <v>23</v>
      </c>
      <c r="D68" s="4" t="s">
        <v>551</v>
      </c>
      <c r="E68" s="4" t="s">
        <v>552</v>
      </c>
      <c r="F68" s="4" t="s">
        <v>307</v>
      </c>
      <c r="G68" s="4" t="s">
        <v>553</v>
      </c>
      <c r="H68" s="5">
        <v>42668</v>
      </c>
      <c r="I68" s="24">
        <v>0.66666666666666663</v>
      </c>
      <c r="J68" s="25">
        <v>0.71527777777777779</v>
      </c>
      <c r="K68" s="4">
        <v>70</v>
      </c>
      <c r="L68" s="14" t="s">
        <v>59</v>
      </c>
      <c r="M68" s="4" t="s">
        <v>280</v>
      </c>
      <c r="N68" s="4">
        <v>1809634585</v>
      </c>
      <c r="O68" s="4" t="s">
        <v>44</v>
      </c>
      <c r="P68" s="12">
        <v>42648.475393518522</v>
      </c>
      <c r="Q68" s="4"/>
      <c r="R68" s="4" t="s">
        <v>61</v>
      </c>
      <c r="S68" s="4" t="s">
        <v>396</v>
      </c>
      <c r="T68" s="5">
        <v>42648</v>
      </c>
      <c r="U68" s="4" t="s">
        <v>554</v>
      </c>
      <c r="V68" s="4" t="s">
        <v>17</v>
      </c>
      <c r="W68" s="4"/>
      <c r="X68" s="4"/>
      <c r="Y68" s="4"/>
      <c r="Z68" s="4"/>
    </row>
    <row r="69" spans="1:26" hidden="1" x14ac:dyDescent="0.35">
      <c r="A69" s="2"/>
      <c r="B69" s="3" t="s">
        <v>22</v>
      </c>
      <c r="C69" s="4" t="s">
        <v>23</v>
      </c>
      <c r="D69" s="4" t="s">
        <v>555</v>
      </c>
      <c r="E69" s="4" t="s">
        <v>204</v>
      </c>
      <c r="F69" s="4" t="s">
        <v>24</v>
      </c>
      <c r="G69" s="4" t="s">
        <v>556</v>
      </c>
      <c r="H69" s="5">
        <v>42668</v>
      </c>
      <c r="I69" s="24">
        <v>0.72916666666666663</v>
      </c>
      <c r="J69" s="25">
        <v>0.73958333333333326</v>
      </c>
      <c r="K69" s="4">
        <v>15</v>
      </c>
      <c r="L69" s="6" t="s">
        <v>25</v>
      </c>
      <c r="M69" s="4" t="s">
        <v>25</v>
      </c>
      <c r="N69" s="4">
        <v>1809922526</v>
      </c>
      <c r="O69" s="4" t="s">
        <v>44</v>
      </c>
      <c r="P69" s="12">
        <v>42656.574560185189</v>
      </c>
      <c r="Q69" s="4"/>
      <c r="R69" s="4" t="s">
        <v>25</v>
      </c>
      <c r="S69" s="4"/>
      <c r="T69" s="5">
        <v>42656</v>
      </c>
      <c r="U69" s="4" t="s">
        <v>234</v>
      </c>
      <c r="V69" s="4"/>
      <c r="W69" s="4"/>
      <c r="X69" s="4"/>
      <c r="Y69" s="4"/>
      <c r="Z69" s="4"/>
    </row>
    <row r="70" spans="1:26" x14ac:dyDescent="0.35">
      <c r="A70" s="17" t="s">
        <v>324</v>
      </c>
      <c r="B70" s="8" t="s">
        <v>394</v>
      </c>
      <c r="C70" s="10" t="s">
        <v>86</v>
      </c>
      <c r="D70" s="4" t="s">
        <v>337</v>
      </c>
      <c r="E70" s="4" t="s">
        <v>338</v>
      </c>
      <c r="F70" s="4" t="s">
        <v>32</v>
      </c>
      <c r="G70" s="4" t="s">
        <v>339</v>
      </c>
      <c r="H70" s="5">
        <v>42668</v>
      </c>
      <c r="I70" s="24">
        <v>0.41666666666666669</v>
      </c>
      <c r="J70" s="25">
        <v>0.45833333333333337</v>
      </c>
      <c r="K70" s="4">
        <v>60</v>
      </c>
      <c r="L70" s="6" t="s">
        <v>110</v>
      </c>
      <c r="M70" s="4" t="s">
        <v>557</v>
      </c>
      <c r="N70" s="4">
        <v>1809932359</v>
      </c>
      <c r="O70" s="4" t="s">
        <v>96</v>
      </c>
      <c r="P70" s="12">
        <v>42656.676423611112</v>
      </c>
      <c r="Q70" s="4" t="s">
        <v>381</v>
      </c>
      <c r="R70" s="4" t="s">
        <v>460</v>
      </c>
      <c r="S70" s="4"/>
      <c r="T70" s="5">
        <v>42656</v>
      </c>
      <c r="U70" s="4" t="s">
        <v>382</v>
      </c>
      <c r="V70" s="4"/>
      <c r="W70" s="4"/>
      <c r="X70" s="4"/>
      <c r="Y70" s="4"/>
      <c r="Z70" s="4"/>
    </row>
    <row r="71" spans="1:26" x14ac:dyDescent="0.35">
      <c r="A71" s="17" t="s">
        <v>324</v>
      </c>
      <c r="B71" s="8" t="s">
        <v>394</v>
      </c>
      <c r="C71" s="10" t="s">
        <v>86</v>
      </c>
      <c r="D71" s="4" t="s">
        <v>337</v>
      </c>
      <c r="E71" s="4" t="s">
        <v>338</v>
      </c>
      <c r="F71" s="4" t="s">
        <v>32</v>
      </c>
      <c r="G71" s="4" t="s">
        <v>339</v>
      </c>
      <c r="H71" s="5">
        <v>42668</v>
      </c>
      <c r="I71" s="24">
        <v>0.45833333333333331</v>
      </c>
      <c r="J71" s="25">
        <v>0.5</v>
      </c>
      <c r="K71" s="4">
        <v>60</v>
      </c>
      <c r="L71" s="6" t="s">
        <v>120</v>
      </c>
      <c r="M71" s="4" t="s">
        <v>187</v>
      </c>
      <c r="N71" s="4">
        <v>1809932405</v>
      </c>
      <c r="O71" s="4" t="s">
        <v>44</v>
      </c>
      <c r="P71" s="12">
        <v>42656.677037037036</v>
      </c>
      <c r="Q71" s="4" t="s">
        <v>381</v>
      </c>
      <c r="R71" s="4" t="s">
        <v>188</v>
      </c>
      <c r="S71" s="4"/>
      <c r="T71" s="5">
        <v>42656</v>
      </c>
      <c r="U71" s="4" t="s">
        <v>382</v>
      </c>
      <c r="V71" s="4"/>
      <c r="W71" s="4"/>
      <c r="X71" s="4"/>
      <c r="Y71" s="4"/>
      <c r="Z71" s="4"/>
    </row>
    <row r="72" spans="1:26" x14ac:dyDescent="0.35">
      <c r="A72" s="7" t="s">
        <v>122</v>
      </c>
      <c r="B72" s="8" t="s">
        <v>123</v>
      </c>
      <c r="C72" s="10" t="s">
        <v>86</v>
      </c>
      <c r="D72" s="4" t="s">
        <v>124</v>
      </c>
      <c r="E72" s="4" t="s">
        <v>125</v>
      </c>
      <c r="F72" s="4" t="s">
        <v>114</v>
      </c>
      <c r="G72" s="4" t="s">
        <v>126</v>
      </c>
      <c r="H72" s="5">
        <v>42668</v>
      </c>
      <c r="I72" s="25">
        <v>0.5</v>
      </c>
      <c r="J72" s="25">
        <v>0.6875</v>
      </c>
      <c r="K72" s="4">
        <v>270</v>
      </c>
      <c r="L72" s="4" t="s">
        <v>26</v>
      </c>
      <c r="M72" s="4" t="s">
        <v>34</v>
      </c>
      <c r="N72" s="4">
        <v>1810084265</v>
      </c>
      <c r="O72" s="4" t="s">
        <v>44</v>
      </c>
      <c r="P72" s="12">
        <v>42662.423067129632</v>
      </c>
      <c r="Q72" s="4" t="s">
        <v>127</v>
      </c>
      <c r="R72" s="4" t="s">
        <v>27</v>
      </c>
      <c r="S72" s="4"/>
      <c r="T72" s="5">
        <v>42662</v>
      </c>
      <c r="U72" s="4" t="s">
        <v>97</v>
      </c>
      <c r="V72" s="4"/>
      <c r="W72" s="4"/>
      <c r="X72" s="4"/>
      <c r="Y72" s="4"/>
      <c r="Z72" s="4"/>
    </row>
    <row r="73" spans="1:26" x14ac:dyDescent="0.35">
      <c r="A73" s="11" t="s">
        <v>558</v>
      </c>
      <c r="B73" s="8" t="s">
        <v>29</v>
      </c>
      <c r="C73" s="10" t="s">
        <v>86</v>
      </c>
      <c r="D73" s="4" t="s">
        <v>559</v>
      </c>
      <c r="E73" s="4" t="s">
        <v>560</v>
      </c>
      <c r="F73" s="4" t="s">
        <v>32</v>
      </c>
      <c r="G73" s="4" t="s">
        <v>561</v>
      </c>
      <c r="H73" s="5">
        <v>42668</v>
      </c>
      <c r="I73" s="25">
        <v>0.5</v>
      </c>
      <c r="J73" s="25">
        <v>0.54166666666666663</v>
      </c>
      <c r="K73" s="4">
        <v>60</v>
      </c>
      <c r="L73" s="4" t="s">
        <v>562</v>
      </c>
      <c r="M73" s="4" t="s">
        <v>563</v>
      </c>
      <c r="N73" s="4">
        <v>1810064095</v>
      </c>
      <c r="O73" s="4" t="s">
        <v>44</v>
      </c>
      <c r="P73" s="12">
        <v>42661.627337962964</v>
      </c>
      <c r="Q73" s="4" t="s">
        <v>564</v>
      </c>
      <c r="R73" s="4" t="s">
        <v>565</v>
      </c>
      <c r="S73" s="4" t="s">
        <v>51</v>
      </c>
      <c r="T73" s="5">
        <v>42661</v>
      </c>
      <c r="U73" s="4" t="s">
        <v>45</v>
      </c>
      <c r="V73" s="4" t="s">
        <v>17</v>
      </c>
      <c r="W73" s="4"/>
      <c r="X73" s="4"/>
      <c r="Y73" s="4"/>
      <c r="Z73" s="4"/>
    </row>
    <row r="74" spans="1:26" x14ac:dyDescent="0.35">
      <c r="A74" s="2"/>
      <c r="B74" s="8" t="s">
        <v>78</v>
      </c>
      <c r="C74" s="10" t="s">
        <v>86</v>
      </c>
      <c r="D74" s="4" t="s">
        <v>517</v>
      </c>
      <c r="E74" s="4" t="s">
        <v>155</v>
      </c>
      <c r="F74" s="4" t="s">
        <v>24</v>
      </c>
      <c r="G74" s="4" t="s">
        <v>518</v>
      </c>
      <c r="H74" s="5">
        <v>42668</v>
      </c>
      <c r="I74" s="24">
        <v>0.5</v>
      </c>
      <c r="J74" s="25">
        <v>0.51041666666666663</v>
      </c>
      <c r="K74" s="4">
        <v>15</v>
      </c>
      <c r="L74" s="6" t="s">
        <v>115</v>
      </c>
      <c r="M74" s="4" t="s">
        <v>241</v>
      </c>
      <c r="N74" s="4">
        <v>1809445593</v>
      </c>
      <c r="O74" s="4" t="s">
        <v>44</v>
      </c>
      <c r="P74" s="12">
        <v>42642.348819444444</v>
      </c>
      <c r="Q74" s="4"/>
      <c r="R74" s="4" t="s">
        <v>115</v>
      </c>
      <c r="S74" s="4"/>
      <c r="T74" s="5">
        <v>42642</v>
      </c>
      <c r="U74" s="4" t="s">
        <v>493</v>
      </c>
      <c r="V74" s="4"/>
      <c r="W74" s="4"/>
      <c r="X74" s="4"/>
      <c r="Y74" s="4"/>
      <c r="Z74" s="4"/>
    </row>
    <row r="75" spans="1:26" x14ac:dyDescent="0.35">
      <c r="A75" s="2"/>
      <c r="B75" s="8" t="s">
        <v>129</v>
      </c>
      <c r="C75" s="10" t="s">
        <v>86</v>
      </c>
      <c r="D75" s="4" t="s">
        <v>130</v>
      </c>
      <c r="E75" s="4" t="s">
        <v>131</v>
      </c>
      <c r="F75" s="4" t="s">
        <v>37</v>
      </c>
      <c r="G75" s="4" t="s">
        <v>132</v>
      </c>
      <c r="H75" s="5">
        <v>42668</v>
      </c>
      <c r="I75" s="24">
        <v>0.52083333333333337</v>
      </c>
      <c r="J75" s="25">
        <v>0.59027777777777779</v>
      </c>
      <c r="K75" s="4">
        <v>100</v>
      </c>
      <c r="L75" s="15" t="s">
        <v>133</v>
      </c>
      <c r="M75" s="4" t="s">
        <v>270</v>
      </c>
      <c r="N75" s="4">
        <v>1809425965</v>
      </c>
      <c r="O75" s="4" t="s">
        <v>44</v>
      </c>
      <c r="P75" s="12">
        <v>42641.584548611114</v>
      </c>
      <c r="Q75" s="4" t="s">
        <v>135</v>
      </c>
      <c r="R75" s="4" t="s">
        <v>271</v>
      </c>
      <c r="S75" s="4" t="s">
        <v>393</v>
      </c>
      <c r="T75" s="5">
        <v>42641</v>
      </c>
      <c r="U75" s="4" t="s">
        <v>137</v>
      </c>
      <c r="V75" s="4" t="s">
        <v>17</v>
      </c>
      <c r="W75" s="4"/>
      <c r="X75" s="4"/>
      <c r="Y75" s="4"/>
      <c r="Z75" s="4"/>
    </row>
    <row r="76" spans="1:26" x14ac:dyDescent="0.35">
      <c r="A76" s="18"/>
      <c r="B76" s="8" t="s">
        <v>57</v>
      </c>
      <c r="C76" s="10" t="s">
        <v>40</v>
      </c>
      <c r="D76" s="4" t="s">
        <v>458</v>
      </c>
      <c r="E76" s="4" t="s">
        <v>459</v>
      </c>
      <c r="F76" s="9" t="s">
        <v>266</v>
      </c>
      <c r="G76" s="9" t="s">
        <v>267</v>
      </c>
      <c r="H76" s="19">
        <v>42668</v>
      </c>
      <c r="I76" s="27">
        <v>0.625</v>
      </c>
      <c r="J76" s="27">
        <v>0.66666666666666663</v>
      </c>
      <c r="K76" s="9">
        <v>60</v>
      </c>
      <c r="L76" s="9" t="s">
        <v>347</v>
      </c>
      <c r="M76" s="9" t="s">
        <v>497</v>
      </c>
      <c r="N76" s="9">
        <v>1809792922</v>
      </c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x14ac:dyDescent="0.35">
      <c r="A77" s="18"/>
      <c r="B77" s="8" t="s">
        <v>57</v>
      </c>
      <c r="C77" s="10" t="s">
        <v>40</v>
      </c>
      <c r="D77" s="4" t="s">
        <v>458</v>
      </c>
      <c r="E77" s="4" t="s">
        <v>459</v>
      </c>
      <c r="F77" s="9" t="s">
        <v>266</v>
      </c>
      <c r="G77" s="9" t="s">
        <v>267</v>
      </c>
      <c r="H77" s="19">
        <v>42668</v>
      </c>
      <c r="I77" s="27">
        <v>0.66666666666666663</v>
      </c>
      <c r="J77" s="27">
        <v>0.70833333333333337</v>
      </c>
      <c r="K77" s="9">
        <v>60</v>
      </c>
      <c r="L77" s="9" t="s">
        <v>107</v>
      </c>
      <c r="M77" s="9" t="s">
        <v>566</v>
      </c>
      <c r="N77" s="9">
        <v>1809773444</v>
      </c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x14ac:dyDescent="0.35">
      <c r="A78" s="30" t="s">
        <v>567</v>
      </c>
      <c r="B78" s="8" t="s">
        <v>397</v>
      </c>
      <c r="C78" s="4" t="s">
        <v>23</v>
      </c>
      <c r="D78" s="4" t="s">
        <v>387</v>
      </c>
      <c r="E78" s="4" t="s">
        <v>568</v>
      </c>
      <c r="F78" s="4" t="s">
        <v>307</v>
      </c>
      <c r="G78" s="4" t="s">
        <v>388</v>
      </c>
      <c r="H78" s="5">
        <v>42669</v>
      </c>
      <c r="I78" s="25">
        <v>0.27083333333333331</v>
      </c>
      <c r="J78" s="25">
        <v>0.39583333333333331</v>
      </c>
      <c r="K78" s="4">
        <v>240</v>
      </c>
      <c r="L78" s="4" t="s">
        <v>253</v>
      </c>
      <c r="M78" s="4" t="s">
        <v>254</v>
      </c>
      <c r="N78" s="4">
        <v>1810152132</v>
      </c>
      <c r="O78" s="4" t="s">
        <v>44</v>
      </c>
      <c r="P78" s="12">
        <v>42663.663217592592</v>
      </c>
      <c r="Q78" s="4" t="s">
        <v>569</v>
      </c>
      <c r="R78" s="4" t="s">
        <v>253</v>
      </c>
      <c r="S78" s="4"/>
      <c r="T78" s="5">
        <v>42663</v>
      </c>
      <c r="U78" s="4" t="s">
        <v>370</v>
      </c>
      <c r="V78" s="4"/>
      <c r="W78" s="4"/>
      <c r="X78" s="4"/>
      <c r="Y78" s="4"/>
      <c r="Z78" s="4"/>
    </row>
    <row r="79" spans="1:26" x14ac:dyDescent="0.35">
      <c r="A79" s="7"/>
      <c r="B79" s="8" t="s">
        <v>278</v>
      </c>
      <c r="C79" s="4" t="s">
        <v>23</v>
      </c>
      <c r="D79" s="4" t="s">
        <v>570</v>
      </c>
      <c r="E79" s="4" t="s">
        <v>571</v>
      </c>
      <c r="F79" s="4" t="s">
        <v>114</v>
      </c>
      <c r="G79" s="4" t="s">
        <v>572</v>
      </c>
      <c r="H79" s="5">
        <v>42669</v>
      </c>
      <c r="I79" s="24">
        <v>0.29166666666666669</v>
      </c>
      <c r="J79" s="25">
        <v>0.30208333333333331</v>
      </c>
      <c r="K79" s="4">
        <v>15</v>
      </c>
      <c r="L79" s="6" t="s">
        <v>138</v>
      </c>
      <c r="M79" s="4"/>
      <c r="N79" s="4"/>
      <c r="O79" s="4"/>
      <c r="P79" s="12"/>
      <c r="Q79" s="4"/>
      <c r="R79" s="4"/>
      <c r="S79" s="4"/>
      <c r="T79" s="5"/>
      <c r="U79" s="4"/>
      <c r="V79" s="4"/>
      <c r="W79" s="4"/>
      <c r="X79" s="4"/>
      <c r="Y79" s="4"/>
      <c r="Z79" s="4"/>
    </row>
    <row r="80" spans="1:26" x14ac:dyDescent="0.35">
      <c r="A80" s="7"/>
      <c r="B80" s="8" t="s">
        <v>278</v>
      </c>
      <c r="C80" s="4" t="s">
        <v>23</v>
      </c>
      <c r="D80" s="4" t="s">
        <v>570</v>
      </c>
      <c r="E80" s="4" t="s">
        <v>571</v>
      </c>
      <c r="F80" s="4" t="s">
        <v>114</v>
      </c>
      <c r="G80" s="4" t="s">
        <v>572</v>
      </c>
      <c r="H80" s="5">
        <v>42669</v>
      </c>
      <c r="I80" s="24">
        <v>0.30208333333333331</v>
      </c>
      <c r="J80" s="25">
        <v>0.38541666666666669</v>
      </c>
      <c r="K80" s="4">
        <v>120</v>
      </c>
      <c r="L80" s="6" t="s">
        <v>115</v>
      </c>
      <c r="M80" s="4"/>
      <c r="N80" s="4"/>
      <c r="O80" s="4"/>
      <c r="P80" s="12"/>
      <c r="Q80" s="4"/>
      <c r="R80" s="4"/>
      <c r="S80" s="4"/>
      <c r="T80" s="5"/>
      <c r="U80" s="4"/>
      <c r="V80" s="4"/>
      <c r="W80" s="4"/>
      <c r="X80" s="4"/>
      <c r="Y80" s="4"/>
      <c r="Z80" s="4"/>
    </row>
    <row r="81" spans="1:26" hidden="1" x14ac:dyDescent="0.35">
      <c r="A81" s="9"/>
      <c r="B81" s="13" t="s">
        <v>52</v>
      </c>
      <c r="C81" s="4" t="s">
        <v>23</v>
      </c>
      <c r="D81" s="4" t="s">
        <v>448</v>
      </c>
      <c r="E81" s="4" t="s">
        <v>449</v>
      </c>
      <c r="F81" s="4" t="s">
        <v>307</v>
      </c>
      <c r="G81" s="4" t="s">
        <v>450</v>
      </c>
      <c r="H81" s="5">
        <v>42669</v>
      </c>
      <c r="I81" s="25">
        <v>0.30555555555555552</v>
      </c>
      <c r="J81" s="25">
        <v>0.40972222222222227</v>
      </c>
      <c r="K81" s="4">
        <v>150</v>
      </c>
      <c r="L81" s="6" t="s">
        <v>115</v>
      </c>
      <c r="M81" s="4"/>
      <c r="N81" s="4"/>
      <c r="O81" s="4"/>
      <c r="P81" s="12"/>
      <c r="Q81" s="4"/>
      <c r="R81" s="4"/>
      <c r="S81" s="4"/>
      <c r="T81" s="5"/>
      <c r="U81" s="4"/>
      <c r="V81" s="4"/>
      <c r="W81" s="4"/>
      <c r="X81" s="4"/>
      <c r="Y81" s="4"/>
      <c r="Z81" s="4"/>
    </row>
    <row r="82" spans="1:26" hidden="1" x14ac:dyDescent="0.35">
      <c r="A82" s="2"/>
      <c r="B82" s="3" t="s">
        <v>22</v>
      </c>
      <c r="C82" s="4" t="s">
        <v>23</v>
      </c>
      <c r="D82" s="4" t="s">
        <v>573</v>
      </c>
      <c r="E82" s="4" t="s">
        <v>574</v>
      </c>
      <c r="F82" s="4" t="s">
        <v>24</v>
      </c>
      <c r="G82" s="4" t="s">
        <v>575</v>
      </c>
      <c r="H82" s="5">
        <v>42669</v>
      </c>
      <c r="I82" s="24">
        <v>0.32291666666666669</v>
      </c>
      <c r="J82" s="25">
        <v>0.33333333333333331</v>
      </c>
      <c r="K82" s="4">
        <v>15</v>
      </c>
      <c r="L82" s="4" t="s">
        <v>25</v>
      </c>
      <c r="M82" s="4"/>
      <c r="N82" s="4"/>
      <c r="O82" s="4"/>
      <c r="P82" s="12"/>
      <c r="Q82" s="4"/>
      <c r="R82" s="4"/>
      <c r="S82" s="4"/>
      <c r="T82" s="5"/>
      <c r="U82" s="4"/>
      <c r="V82" s="4"/>
      <c r="W82" s="4"/>
      <c r="X82" s="4"/>
      <c r="Y82" s="4"/>
      <c r="Z82" s="4"/>
    </row>
    <row r="83" spans="1:26" x14ac:dyDescent="0.35">
      <c r="A83" s="7" t="s">
        <v>28</v>
      </c>
      <c r="B83" s="8" t="s">
        <v>161</v>
      </c>
      <c r="C83" s="4" t="s">
        <v>23</v>
      </c>
      <c r="D83" s="4" t="s">
        <v>576</v>
      </c>
      <c r="E83" s="4" t="s">
        <v>414</v>
      </c>
      <c r="F83" s="4" t="s">
        <v>162</v>
      </c>
      <c r="G83" s="4" t="s">
        <v>577</v>
      </c>
      <c r="H83" s="5">
        <v>42669</v>
      </c>
      <c r="I83" s="24">
        <v>0.32291666666666669</v>
      </c>
      <c r="J83" s="25">
        <v>0.375</v>
      </c>
      <c r="K83" s="4">
        <v>75</v>
      </c>
      <c r="L83" s="6" t="s">
        <v>181</v>
      </c>
      <c r="M83" s="4" t="s">
        <v>477</v>
      </c>
      <c r="N83" s="4">
        <v>1809763143</v>
      </c>
      <c r="O83" s="4" t="s">
        <v>44</v>
      </c>
      <c r="P83" s="12">
        <v>42653.363842592589</v>
      </c>
      <c r="Q83" s="4"/>
      <c r="R83" s="4" t="s">
        <v>181</v>
      </c>
      <c r="S83" s="4"/>
      <c r="T83" s="5">
        <v>42653</v>
      </c>
      <c r="U83" s="4" t="s">
        <v>198</v>
      </c>
      <c r="V83" s="4"/>
      <c r="W83" s="4"/>
      <c r="X83" s="4"/>
      <c r="Y83" s="4"/>
      <c r="Z83" s="4"/>
    </row>
    <row r="84" spans="1:26" hidden="1" x14ac:dyDescent="0.35">
      <c r="A84" s="9"/>
      <c r="B84" s="3" t="s">
        <v>22</v>
      </c>
      <c r="C84" s="4" t="s">
        <v>23</v>
      </c>
      <c r="D84" s="4" t="s">
        <v>314</v>
      </c>
      <c r="E84" s="4" t="s">
        <v>315</v>
      </c>
      <c r="F84" s="4" t="s">
        <v>210</v>
      </c>
      <c r="G84" s="4" t="s">
        <v>316</v>
      </c>
      <c r="H84" s="5">
        <v>42669</v>
      </c>
      <c r="I84" s="25">
        <v>0.33333333333333331</v>
      </c>
      <c r="J84" s="25">
        <v>0.34375</v>
      </c>
      <c r="K84" s="4">
        <v>15</v>
      </c>
      <c r="L84" s="4" t="s">
        <v>25</v>
      </c>
      <c r="M84" s="4" t="s">
        <v>25</v>
      </c>
      <c r="N84" s="4">
        <v>1809634338</v>
      </c>
      <c r="O84" s="4" t="s">
        <v>399</v>
      </c>
      <c r="P84" s="12">
        <v>42668.301562499997</v>
      </c>
      <c r="Q84" s="4" t="s">
        <v>465</v>
      </c>
      <c r="R84" s="4" t="s">
        <v>25</v>
      </c>
      <c r="S84" s="4" t="s">
        <v>369</v>
      </c>
      <c r="T84" s="5">
        <v>42648</v>
      </c>
      <c r="U84" s="4" t="s">
        <v>476</v>
      </c>
      <c r="V84" s="4" t="s">
        <v>17</v>
      </c>
      <c r="W84" s="4"/>
      <c r="X84" s="4"/>
      <c r="Y84" s="4"/>
      <c r="Z84" s="4"/>
    </row>
    <row r="85" spans="1:26" hidden="1" x14ac:dyDescent="0.35">
      <c r="A85" s="2"/>
      <c r="B85" s="3" t="s">
        <v>103</v>
      </c>
      <c r="C85" s="4" t="s">
        <v>23</v>
      </c>
      <c r="D85" s="4" t="s">
        <v>578</v>
      </c>
      <c r="E85" s="4" t="s">
        <v>579</v>
      </c>
      <c r="F85" s="4" t="s">
        <v>24</v>
      </c>
      <c r="G85" s="4" t="s">
        <v>580</v>
      </c>
      <c r="H85" s="5">
        <v>42669</v>
      </c>
      <c r="I85" s="24">
        <v>0.33333333333333331</v>
      </c>
      <c r="J85" s="25">
        <v>0.34375</v>
      </c>
      <c r="K85" s="4">
        <v>15</v>
      </c>
      <c r="L85" s="14" t="s">
        <v>193</v>
      </c>
      <c r="M85" s="4" t="s">
        <v>581</v>
      </c>
      <c r="N85" s="4">
        <v>1809405622</v>
      </c>
      <c r="O85" s="4" t="s">
        <v>44</v>
      </c>
      <c r="P85" s="12">
        <v>42641.392743055556</v>
      </c>
      <c r="Q85" s="4" t="s">
        <v>582</v>
      </c>
      <c r="R85" s="4" t="s">
        <v>194</v>
      </c>
      <c r="S85" s="4"/>
      <c r="T85" s="5">
        <v>42641</v>
      </c>
      <c r="U85" s="4" t="s">
        <v>554</v>
      </c>
      <c r="V85" s="4"/>
      <c r="W85" s="4"/>
      <c r="X85" s="4"/>
      <c r="Y85" s="4"/>
      <c r="Z85" s="4"/>
    </row>
    <row r="86" spans="1:26" hidden="1" x14ac:dyDescent="0.35">
      <c r="A86" s="2"/>
      <c r="B86" s="3" t="s">
        <v>22</v>
      </c>
      <c r="C86" s="4" t="s">
        <v>23</v>
      </c>
      <c r="D86" s="4" t="s">
        <v>294</v>
      </c>
      <c r="E86" s="4" t="s">
        <v>295</v>
      </c>
      <c r="F86" s="4" t="s">
        <v>41</v>
      </c>
      <c r="G86" s="4" t="s">
        <v>296</v>
      </c>
      <c r="H86" s="5">
        <v>42669</v>
      </c>
      <c r="I86" s="24">
        <v>0.34375</v>
      </c>
      <c r="J86" s="25">
        <v>0.35416666666666669</v>
      </c>
      <c r="K86" s="4">
        <v>15</v>
      </c>
      <c r="L86" s="6" t="s">
        <v>25</v>
      </c>
      <c r="M86" s="4" t="s">
        <v>25</v>
      </c>
      <c r="N86" s="4">
        <v>1809236521</v>
      </c>
      <c r="O86" s="4" t="s">
        <v>44</v>
      </c>
      <c r="P86" s="12">
        <v>42635.443530092591</v>
      </c>
      <c r="Q86" s="4" t="s">
        <v>583</v>
      </c>
      <c r="R86" s="4" t="s">
        <v>25</v>
      </c>
      <c r="S86" s="4"/>
      <c r="T86" s="5">
        <v>42635</v>
      </c>
      <c r="U86" s="4" t="s">
        <v>370</v>
      </c>
      <c r="V86" s="4"/>
      <c r="W86" s="4"/>
      <c r="X86" s="4"/>
      <c r="Y86" s="4"/>
      <c r="Z86" s="4"/>
    </row>
    <row r="87" spans="1:26" x14ac:dyDescent="0.35">
      <c r="A87" s="9"/>
      <c r="B87" s="8" t="s">
        <v>161</v>
      </c>
      <c r="C87" s="4" t="s">
        <v>23</v>
      </c>
      <c r="D87" s="4" t="s">
        <v>230</v>
      </c>
      <c r="E87" s="4" t="s">
        <v>231</v>
      </c>
      <c r="F87" s="4" t="s">
        <v>162</v>
      </c>
      <c r="G87" s="4" t="s">
        <v>232</v>
      </c>
      <c r="H87" s="5">
        <v>42669</v>
      </c>
      <c r="I87" s="25">
        <v>0.35416666666666669</v>
      </c>
      <c r="J87" s="25">
        <v>0.45833333333333331</v>
      </c>
      <c r="K87" s="4">
        <v>150</v>
      </c>
      <c r="L87" s="4" t="s">
        <v>115</v>
      </c>
      <c r="M87" s="4" t="s">
        <v>116</v>
      </c>
      <c r="N87" s="4">
        <v>1810041435</v>
      </c>
      <c r="O87" s="4" t="s">
        <v>44</v>
      </c>
      <c r="P87" s="12">
        <v>42661.42460648148</v>
      </c>
      <c r="Q87" s="4" t="s">
        <v>233</v>
      </c>
      <c r="R87" s="4" t="s">
        <v>115</v>
      </c>
      <c r="S87" s="4"/>
      <c r="T87" s="5">
        <v>42661</v>
      </c>
      <c r="U87" s="4" t="s">
        <v>234</v>
      </c>
      <c r="V87" s="4"/>
      <c r="W87" s="4"/>
      <c r="X87" s="4"/>
      <c r="Y87" s="4"/>
      <c r="Z87" s="4"/>
    </row>
    <row r="88" spans="1:26" hidden="1" x14ac:dyDescent="0.35">
      <c r="A88" s="2"/>
      <c r="B88" s="3" t="s">
        <v>22</v>
      </c>
      <c r="C88" s="4" t="s">
        <v>23</v>
      </c>
      <c r="D88" s="4" t="s">
        <v>297</v>
      </c>
      <c r="E88" s="4" t="s">
        <v>298</v>
      </c>
      <c r="F88" s="4" t="s">
        <v>37</v>
      </c>
      <c r="G88" s="4" t="s">
        <v>299</v>
      </c>
      <c r="H88" s="5">
        <v>42669</v>
      </c>
      <c r="I88" s="24">
        <v>0.3611111111111111</v>
      </c>
      <c r="J88" s="25">
        <v>0.375</v>
      </c>
      <c r="K88" s="4">
        <v>20</v>
      </c>
      <c r="L88" s="6" t="s">
        <v>42</v>
      </c>
      <c r="M88" s="4"/>
      <c r="N88" s="4"/>
      <c r="O88" s="4"/>
      <c r="P88" s="12"/>
      <c r="Q88" s="4"/>
      <c r="R88" s="4"/>
      <c r="S88" s="4"/>
      <c r="T88" s="5"/>
      <c r="U88" s="4"/>
      <c r="V88" s="4"/>
      <c r="W88" s="4"/>
      <c r="X88" s="4"/>
      <c r="Y88" s="4"/>
      <c r="Z88" s="4"/>
    </row>
    <row r="89" spans="1:26" x14ac:dyDescent="0.35">
      <c r="A89" s="7" t="s">
        <v>28</v>
      </c>
      <c r="B89" s="8" t="s">
        <v>161</v>
      </c>
      <c r="C89" s="4" t="s">
        <v>23</v>
      </c>
      <c r="D89" s="4" t="s">
        <v>576</v>
      </c>
      <c r="E89" s="4" t="s">
        <v>414</v>
      </c>
      <c r="F89" s="4" t="s">
        <v>162</v>
      </c>
      <c r="G89" s="4" t="s">
        <v>577</v>
      </c>
      <c r="H89" s="5">
        <v>42669</v>
      </c>
      <c r="I89" s="24">
        <v>0.36458333333333331</v>
      </c>
      <c r="J89" s="25">
        <v>0.41666666666666669</v>
      </c>
      <c r="K89" s="4">
        <v>75</v>
      </c>
      <c r="L89" s="6" t="s">
        <v>181</v>
      </c>
      <c r="M89" s="4" t="s">
        <v>477</v>
      </c>
      <c r="N89" s="4">
        <v>1809763144</v>
      </c>
      <c r="O89" s="4" t="s">
        <v>44</v>
      </c>
      <c r="P89" s="12">
        <v>42653.363842592589</v>
      </c>
      <c r="Q89" s="4"/>
      <c r="R89" s="4" t="s">
        <v>181</v>
      </c>
      <c r="S89" s="4"/>
      <c r="T89" s="5">
        <v>42653</v>
      </c>
      <c r="U89" s="4" t="s">
        <v>198</v>
      </c>
      <c r="V89" s="4"/>
      <c r="W89" s="4"/>
      <c r="X89" s="4"/>
      <c r="Y89" s="4"/>
      <c r="Z89" s="4"/>
    </row>
    <row r="90" spans="1:26" hidden="1" x14ac:dyDescent="0.35">
      <c r="A90" s="2"/>
      <c r="B90" s="3" t="s">
        <v>22</v>
      </c>
      <c r="C90" s="4" t="s">
        <v>23</v>
      </c>
      <c r="D90" s="4" t="s">
        <v>405</v>
      </c>
      <c r="E90" s="4" t="s">
        <v>584</v>
      </c>
      <c r="F90" s="4" t="s">
        <v>292</v>
      </c>
      <c r="G90" s="4" t="s">
        <v>585</v>
      </c>
      <c r="H90" s="5">
        <v>42669</v>
      </c>
      <c r="I90" s="24">
        <v>0.375</v>
      </c>
      <c r="J90" s="25">
        <v>0.38541666666666669</v>
      </c>
      <c r="K90" s="4">
        <v>15</v>
      </c>
      <c r="L90" s="6" t="s">
        <v>25</v>
      </c>
      <c r="M90" s="4" t="s">
        <v>25</v>
      </c>
      <c r="N90" s="4">
        <v>1807678286</v>
      </c>
      <c r="O90" s="4" t="s">
        <v>44</v>
      </c>
      <c r="P90" s="12">
        <v>42585.559108796297</v>
      </c>
      <c r="Q90" s="4"/>
      <c r="R90" s="4" t="s">
        <v>25</v>
      </c>
      <c r="S90" s="4"/>
      <c r="T90" s="5">
        <v>42585</v>
      </c>
      <c r="U90" s="4" t="s">
        <v>159</v>
      </c>
      <c r="V90" s="4"/>
      <c r="W90" s="4"/>
      <c r="X90" s="4"/>
      <c r="Y90" s="4"/>
      <c r="Z90" s="4"/>
    </row>
    <row r="91" spans="1:26" x14ac:dyDescent="0.35">
      <c r="A91" s="2"/>
      <c r="B91" s="8" t="s">
        <v>112</v>
      </c>
      <c r="C91" s="4" t="s">
        <v>23</v>
      </c>
      <c r="D91" s="4" t="s">
        <v>300</v>
      </c>
      <c r="E91" s="4" t="s">
        <v>301</v>
      </c>
      <c r="F91" s="4" t="s">
        <v>41</v>
      </c>
      <c r="G91" s="4" t="s">
        <v>302</v>
      </c>
      <c r="H91" s="5">
        <v>42669</v>
      </c>
      <c r="I91" s="24">
        <v>0.375</v>
      </c>
      <c r="J91" s="25">
        <v>0.41666666666666669</v>
      </c>
      <c r="K91" s="4">
        <v>60</v>
      </c>
      <c r="L91" s="14" t="s">
        <v>59</v>
      </c>
      <c r="M91" s="4" t="s">
        <v>60</v>
      </c>
      <c r="N91" s="4">
        <v>1809419318</v>
      </c>
      <c r="O91" s="4" t="s">
        <v>44</v>
      </c>
      <c r="P91" s="12">
        <v>42641.513148148151</v>
      </c>
      <c r="Q91" s="4"/>
      <c r="R91" s="4" t="s">
        <v>61</v>
      </c>
      <c r="S91" s="4"/>
      <c r="T91" s="5">
        <v>42641</v>
      </c>
      <c r="U91" s="4" t="s">
        <v>281</v>
      </c>
      <c r="V91" s="4"/>
      <c r="W91" s="4"/>
      <c r="X91" s="4"/>
      <c r="Y91" s="4"/>
      <c r="Z91" s="4"/>
    </row>
    <row r="92" spans="1:26" hidden="1" x14ac:dyDescent="0.35">
      <c r="A92" s="11"/>
      <c r="B92" s="26" t="s">
        <v>52</v>
      </c>
      <c r="C92" s="4" t="s">
        <v>23</v>
      </c>
      <c r="D92" s="4" t="s">
        <v>314</v>
      </c>
      <c r="E92" s="4" t="s">
        <v>315</v>
      </c>
      <c r="F92" s="4" t="s">
        <v>210</v>
      </c>
      <c r="G92" s="4" t="s">
        <v>316</v>
      </c>
      <c r="H92" s="5">
        <v>42669</v>
      </c>
      <c r="I92" s="25">
        <v>0.375</v>
      </c>
      <c r="J92" s="25">
        <v>0.41666666666666669</v>
      </c>
      <c r="K92" s="4">
        <v>60</v>
      </c>
      <c r="L92" s="4" t="s">
        <v>163</v>
      </c>
      <c r="M92" s="4" t="s">
        <v>586</v>
      </c>
      <c r="N92" s="4">
        <v>1810241464</v>
      </c>
      <c r="O92" s="4" t="s">
        <v>44</v>
      </c>
      <c r="P92" s="12">
        <v>42667.573136574072</v>
      </c>
      <c r="Q92" s="4" t="s">
        <v>465</v>
      </c>
      <c r="R92" s="4" t="s">
        <v>163</v>
      </c>
      <c r="S92" s="4"/>
      <c r="T92" s="5">
        <v>42667</v>
      </c>
      <c r="U92" s="4" t="s">
        <v>164</v>
      </c>
      <c r="V92" s="4"/>
      <c r="W92" s="4"/>
      <c r="X92" s="4"/>
      <c r="Y92" s="4"/>
      <c r="Z92" s="4"/>
    </row>
    <row r="93" spans="1:26" hidden="1" x14ac:dyDescent="0.35">
      <c r="A93" s="3" t="s">
        <v>28</v>
      </c>
      <c r="B93" s="13" t="s">
        <v>52</v>
      </c>
      <c r="C93" s="4" t="s">
        <v>23</v>
      </c>
      <c r="D93" s="4" t="s">
        <v>305</v>
      </c>
      <c r="E93" s="4" t="s">
        <v>306</v>
      </c>
      <c r="F93" s="4" t="s">
        <v>307</v>
      </c>
      <c r="G93" s="4" t="s">
        <v>308</v>
      </c>
      <c r="H93" s="5">
        <v>42669</v>
      </c>
      <c r="I93" s="25">
        <v>0.39583333333333331</v>
      </c>
      <c r="J93" s="25">
        <v>0.40625</v>
      </c>
      <c r="K93" s="4">
        <v>15</v>
      </c>
      <c r="L93" s="4" t="s">
        <v>138</v>
      </c>
      <c r="M93" s="4" t="s">
        <v>236</v>
      </c>
      <c r="N93" s="4">
        <v>1810089351</v>
      </c>
      <c r="O93" s="4" t="s">
        <v>96</v>
      </c>
      <c r="P93" s="12">
        <v>42662.467523148145</v>
      </c>
      <c r="Q93" s="4" t="s">
        <v>587</v>
      </c>
      <c r="R93" s="4" t="s">
        <v>138</v>
      </c>
      <c r="S93" s="4"/>
      <c r="T93" s="5">
        <v>42662</v>
      </c>
      <c r="U93" s="4" t="s">
        <v>588</v>
      </c>
      <c r="V93" s="4"/>
      <c r="W93" s="4"/>
      <c r="X93" s="4"/>
      <c r="Y93" s="4"/>
      <c r="Z93" s="4"/>
    </row>
    <row r="94" spans="1:26" hidden="1" x14ac:dyDescent="0.35">
      <c r="A94" s="3" t="s">
        <v>28</v>
      </c>
      <c r="B94" s="13" t="s">
        <v>52</v>
      </c>
      <c r="C94" s="4" t="s">
        <v>23</v>
      </c>
      <c r="D94" s="4" t="s">
        <v>305</v>
      </c>
      <c r="E94" s="4" t="s">
        <v>306</v>
      </c>
      <c r="F94" s="4" t="s">
        <v>307</v>
      </c>
      <c r="G94" s="4" t="s">
        <v>308</v>
      </c>
      <c r="H94" s="5">
        <v>42669</v>
      </c>
      <c r="I94" s="25">
        <v>0.39583333333333331</v>
      </c>
      <c r="J94" s="25">
        <v>0.4201388888888889</v>
      </c>
      <c r="K94" s="4">
        <v>35</v>
      </c>
      <c r="L94" s="4" t="s">
        <v>181</v>
      </c>
      <c r="M94" s="4" t="s">
        <v>240</v>
      </c>
      <c r="N94" s="4">
        <v>1810089352</v>
      </c>
      <c r="O94" s="4" t="s">
        <v>96</v>
      </c>
      <c r="P94" s="12">
        <v>42662.467534722222</v>
      </c>
      <c r="Q94" s="4" t="s">
        <v>587</v>
      </c>
      <c r="R94" s="4" t="s">
        <v>181</v>
      </c>
      <c r="S94" s="4"/>
      <c r="T94" s="5">
        <v>42662</v>
      </c>
      <c r="U94" s="4" t="s">
        <v>588</v>
      </c>
      <c r="V94" s="4"/>
      <c r="W94" s="4"/>
      <c r="X94" s="4"/>
      <c r="Y94" s="4"/>
      <c r="Z94" s="4"/>
    </row>
    <row r="95" spans="1:26" hidden="1" x14ac:dyDescent="0.35">
      <c r="A95" s="17"/>
      <c r="B95" s="13" t="s">
        <v>52</v>
      </c>
      <c r="C95" s="4" t="s">
        <v>23</v>
      </c>
      <c r="D95" s="4" t="s">
        <v>455</v>
      </c>
      <c r="E95" s="4" t="s">
        <v>456</v>
      </c>
      <c r="F95" s="4" t="s">
        <v>292</v>
      </c>
      <c r="G95" s="4" t="s">
        <v>457</v>
      </c>
      <c r="H95" s="5">
        <v>42669</v>
      </c>
      <c r="I95" s="24">
        <v>0.39583333333333331</v>
      </c>
      <c r="J95" s="25">
        <v>0.4375</v>
      </c>
      <c r="K95" s="4">
        <v>60</v>
      </c>
      <c r="L95" s="6" t="s">
        <v>115</v>
      </c>
      <c r="M95" s="4"/>
      <c r="N95" s="4"/>
      <c r="O95" s="4"/>
      <c r="P95" s="12"/>
      <c r="Q95" s="4"/>
      <c r="R95" s="4"/>
      <c r="S95" s="4"/>
      <c r="T95" s="5"/>
      <c r="U95" s="4"/>
      <c r="V95" s="4"/>
      <c r="W95" s="4"/>
      <c r="X95" s="4"/>
      <c r="Y95" s="4"/>
      <c r="Z95" s="4"/>
    </row>
    <row r="96" spans="1:26" x14ac:dyDescent="0.35">
      <c r="A96" s="7" t="s">
        <v>589</v>
      </c>
      <c r="B96" s="8" t="s">
        <v>590</v>
      </c>
      <c r="C96" s="4" t="s">
        <v>23</v>
      </c>
      <c r="D96" s="4" t="s">
        <v>294</v>
      </c>
      <c r="E96" s="4" t="s">
        <v>295</v>
      </c>
      <c r="F96" s="4" t="s">
        <v>41</v>
      </c>
      <c r="G96" s="4" t="s">
        <v>296</v>
      </c>
      <c r="H96" s="5">
        <v>42669</v>
      </c>
      <c r="I96" s="24">
        <v>0.39583333333333331</v>
      </c>
      <c r="J96" s="25">
        <v>0.41666666666666663</v>
      </c>
      <c r="K96" s="4">
        <v>30</v>
      </c>
      <c r="L96" s="6" t="s">
        <v>156</v>
      </c>
      <c r="M96" s="4" t="s">
        <v>269</v>
      </c>
      <c r="N96" s="4">
        <v>1809236522</v>
      </c>
      <c r="O96" s="4" t="s">
        <v>44</v>
      </c>
      <c r="P96" s="12">
        <v>42635.443530092591</v>
      </c>
      <c r="Q96" s="4" t="s">
        <v>583</v>
      </c>
      <c r="R96" s="4" t="s">
        <v>157</v>
      </c>
      <c r="S96" s="4"/>
      <c r="T96" s="5">
        <v>42635</v>
      </c>
      <c r="U96" s="4" t="s">
        <v>370</v>
      </c>
      <c r="V96" s="4"/>
      <c r="W96" s="4"/>
      <c r="X96" s="4"/>
      <c r="Y96" s="4"/>
      <c r="Z96" s="4"/>
    </row>
    <row r="97" spans="1:26" x14ac:dyDescent="0.35">
      <c r="A97" s="7"/>
      <c r="B97" s="8" t="s">
        <v>278</v>
      </c>
      <c r="C97" s="4" t="s">
        <v>23</v>
      </c>
      <c r="D97" s="4" t="s">
        <v>570</v>
      </c>
      <c r="E97" s="4" t="s">
        <v>571</v>
      </c>
      <c r="F97" s="4" t="s">
        <v>114</v>
      </c>
      <c r="G97" s="4" t="s">
        <v>572</v>
      </c>
      <c r="H97" s="5">
        <v>42669</v>
      </c>
      <c r="I97" s="24">
        <v>0.39583333333333331</v>
      </c>
      <c r="J97" s="25">
        <v>0.45833333333333331</v>
      </c>
      <c r="K97" s="4">
        <v>120</v>
      </c>
      <c r="L97" s="6" t="s">
        <v>115</v>
      </c>
      <c r="M97" s="4"/>
      <c r="N97" s="4"/>
      <c r="O97" s="4"/>
      <c r="P97" s="12"/>
      <c r="Q97" s="4"/>
      <c r="R97" s="4"/>
      <c r="S97" s="4"/>
      <c r="T97" s="5"/>
      <c r="U97" s="4"/>
      <c r="V97" s="4"/>
      <c r="W97" s="4"/>
      <c r="X97" s="4"/>
      <c r="Y97" s="4"/>
      <c r="Z97" s="4"/>
    </row>
    <row r="98" spans="1:26" hidden="1" x14ac:dyDescent="0.35">
      <c r="A98" s="2"/>
      <c r="B98" s="32" t="s">
        <v>52</v>
      </c>
      <c r="C98" s="4" t="s">
        <v>23</v>
      </c>
      <c r="D98" s="4" t="s">
        <v>573</v>
      </c>
      <c r="E98" s="4" t="s">
        <v>574</v>
      </c>
      <c r="F98" s="4" t="s">
        <v>24</v>
      </c>
      <c r="G98" s="4" t="s">
        <v>575</v>
      </c>
      <c r="H98" s="5">
        <v>42669</v>
      </c>
      <c r="I98" s="24">
        <v>0.39583333333333331</v>
      </c>
      <c r="J98" s="25">
        <v>0.41666666666666669</v>
      </c>
      <c r="K98" s="4">
        <v>30</v>
      </c>
      <c r="L98" s="6" t="s">
        <v>461</v>
      </c>
      <c r="M98" s="4"/>
      <c r="N98" s="4"/>
      <c r="O98" s="4"/>
      <c r="P98" s="12"/>
      <c r="Q98" s="4"/>
      <c r="R98" s="4"/>
      <c r="S98" s="4"/>
      <c r="T98" s="5"/>
      <c r="U98" s="4"/>
      <c r="V98" s="4"/>
      <c r="W98" s="4"/>
      <c r="X98" s="4"/>
      <c r="Y98" s="4"/>
      <c r="Z98" s="4"/>
    </row>
    <row r="99" spans="1:26" x14ac:dyDescent="0.35">
      <c r="A99" s="2"/>
      <c r="B99" s="8" t="s">
        <v>78</v>
      </c>
      <c r="C99" s="4" t="s">
        <v>23</v>
      </c>
      <c r="D99" s="4" t="s">
        <v>591</v>
      </c>
      <c r="E99" s="4" t="s">
        <v>592</v>
      </c>
      <c r="F99" s="4" t="s">
        <v>24</v>
      </c>
      <c r="G99" s="4" t="s">
        <v>593</v>
      </c>
      <c r="H99" s="5">
        <v>42669</v>
      </c>
      <c r="I99" s="24">
        <v>0.39583333333333331</v>
      </c>
      <c r="J99" s="25">
        <v>0.41666666666666663</v>
      </c>
      <c r="K99" s="4">
        <v>30</v>
      </c>
      <c r="L99" s="6" t="s">
        <v>167</v>
      </c>
      <c r="M99" s="4" t="s">
        <v>197</v>
      </c>
      <c r="N99" s="4">
        <v>1809078132</v>
      </c>
      <c r="O99" s="4" t="s">
        <v>44</v>
      </c>
      <c r="P99" s="12">
        <v>42629.680578703701</v>
      </c>
      <c r="Q99" s="4" t="s">
        <v>594</v>
      </c>
      <c r="R99" s="4" t="s">
        <v>167</v>
      </c>
      <c r="S99" s="4"/>
      <c r="T99" s="5">
        <v>42629</v>
      </c>
      <c r="U99" s="4" t="s">
        <v>478</v>
      </c>
      <c r="V99" s="4"/>
      <c r="W99" s="4"/>
      <c r="X99" s="4"/>
      <c r="Y99" s="4"/>
      <c r="Z99" s="4"/>
    </row>
    <row r="100" spans="1:26" hidden="1" x14ac:dyDescent="0.35">
      <c r="A100" s="2"/>
      <c r="B100" s="13" t="s">
        <v>52</v>
      </c>
      <c r="C100" s="4" t="s">
        <v>23</v>
      </c>
      <c r="D100" s="4" t="s">
        <v>405</v>
      </c>
      <c r="E100" s="4" t="s">
        <v>584</v>
      </c>
      <c r="F100" s="4" t="s">
        <v>292</v>
      </c>
      <c r="G100" s="4" t="s">
        <v>585</v>
      </c>
      <c r="H100" s="5">
        <v>42669</v>
      </c>
      <c r="I100" s="24">
        <v>0.40625</v>
      </c>
      <c r="J100" s="25">
        <v>0.42708333333333331</v>
      </c>
      <c r="K100" s="4">
        <v>30</v>
      </c>
      <c r="L100" s="6" t="s">
        <v>115</v>
      </c>
      <c r="M100" s="4" t="s">
        <v>183</v>
      </c>
      <c r="N100" s="4">
        <v>1807678215</v>
      </c>
      <c r="O100" s="4" t="s">
        <v>44</v>
      </c>
      <c r="P100" s="12">
        <v>42585.558171296296</v>
      </c>
      <c r="Q100" s="4"/>
      <c r="R100" s="4" t="s">
        <v>115</v>
      </c>
      <c r="S100" s="4"/>
      <c r="T100" s="5">
        <v>42585</v>
      </c>
      <c r="U100" s="4" t="s">
        <v>159</v>
      </c>
      <c r="V100" s="4"/>
      <c r="W100" s="4"/>
      <c r="X100" s="4"/>
      <c r="Y100" s="4"/>
      <c r="Z100" s="4"/>
    </row>
    <row r="101" spans="1:26" x14ac:dyDescent="0.35">
      <c r="A101" s="7" t="s">
        <v>595</v>
      </c>
      <c r="B101" s="8" t="s">
        <v>373</v>
      </c>
      <c r="C101" s="4" t="s">
        <v>23</v>
      </c>
      <c r="D101" s="4" t="s">
        <v>469</v>
      </c>
      <c r="E101" s="4" t="s">
        <v>470</v>
      </c>
      <c r="F101" s="4" t="s">
        <v>471</v>
      </c>
      <c r="G101" s="4" t="s">
        <v>472</v>
      </c>
      <c r="H101" s="5">
        <v>42669</v>
      </c>
      <c r="I101" s="24">
        <v>0.41666666666666669</v>
      </c>
      <c r="J101" s="25">
        <v>0.44444444444444448</v>
      </c>
      <c r="K101" s="4">
        <v>40</v>
      </c>
      <c r="L101" s="14" t="s">
        <v>59</v>
      </c>
      <c r="M101" s="4" t="s">
        <v>280</v>
      </c>
      <c r="N101" s="4">
        <v>1806519118</v>
      </c>
      <c r="O101" s="4" t="s">
        <v>44</v>
      </c>
      <c r="P101" s="12">
        <v>42550.508136574077</v>
      </c>
      <c r="Q101" s="4" t="s">
        <v>473</v>
      </c>
      <c r="R101" s="4" t="s">
        <v>61</v>
      </c>
      <c r="S101" s="4"/>
      <c r="T101" s="5">
        <v>42550</v>
      </c>
      <c r="U101" s="4" t="s">
        <v>62</v>
      </c>
      <c r="V101" s="4"/>
      <c r="W101" s="4"/>
      <c r="X101" s="4"/>
      <c r="Y101" s="4"/>
      <c r="Z101" s="4"/>
    </row>
    <row r="102" spans="1:26" x14ac:dyDescent="0.35">
      <c r="A102" s="2"/>
      <c r="B102" s="8" t="s">
        <v>346</v>
      </c>
      <c r="C102" s="4" t="s">
        <v>23</v>
      </c>
      <c r="D102" s="4" t="s">
        <v>245</v>
      </c>
      <c r="E102" s="4" t="s">
        <v>246</v>
      </c>
      <c r="F102" s="4" t="s">
        <v>41</v>
      </c>
      <c r="G102" s="4" t="s">
        <v>247</v>
      </c>
      <c r="H102" s="5">
        <v>42669</v>
      </c>
      <c r="I102" s="24">
        <v>0.41666666666666669</v>
      </c>
      <c r="J102" s="25">
        <v>0.45833333333333337</v>
      </c>
      <c r="K102" s="4">
        <v>60</v>
      </c>
      <c r="L102" s="6" t="s">
        <v>26</v>
      </c>
      <c r="M102" s="4" t="s">
        <v>596</v>
      </c>
      <c r="N102" s="4">
        <v>1809371765</v>
      </c>
      <c r="O102" s="4" t="s">
        <v>44</v>
      </c>
      <c r="P102" s="12">
        <v>42640.464675925927</v>
      </c>
      <c r="Q102" s="4"/>
      <c r="R102" s="4" t="s">
        <v>27</v>
      </c>
      <c r="S102" s="4"/>
      <c r="T102" s="5">
        <v>42640</v>
      </c>
      <c r="U102" s="4" t="s">
        <v>248</v>
      </c>
      <c r="V102" s="4"/>
      <c r="W102" s="4"/>
      <c r="X102" s="4"/>
      <c r="Y102" s="4"/>
      <c r="Z102" s="4"/>
    </row>
    <row r="103" spans="1:26" x14ac:dyDescent="0.35">
      <c r="A103" s="7" t="s">
        <v>166</v>
      </c>
      <c r="B103" s="8" t="s">
        <v>176</v>
      </c>
      <c r="C103" s="4" t="s">
        <v>23</v>
      </c>
      <c r="D103" s="4" t="s">
        <v>226</v>
      </c>
      <c r="E103" s="4" t="s">
        <v>466</v>
      </c>
      <c r="F103" s="4" t="s">
        <v>37</v>
      </c>
      <c r="G103" s="4" t="s">
        <v>467</v>
      </c>
      <c r="H103" s="5">
        <v>42669</v>
      </c>
      <c r="I103" s="24">
        <v>0.41666666666666669</v>
      </c>
      <c r="J103" s="25">
        <v>0.4375</v>
      </c>
      <c r="K103" s="4">
        <v>30</v>
      </c>
      <c r="L103" s="6" t="s">
        <v>49</v>
      </c>
      <c r="M103" s="4" t="s">
        <v>50</v>
      </c>
      <c r="N103" s="4">
        <v>1808878508</v>
      </c>
      <c r="O103" s="4" t="s">
        <v>44</v>
      </c>
      <c r="P103" s="12">
        <v>42625.459340277775</v>
      </c>
      <c r="Q103" s="4" t="s">
        <v>468</v>
      </c>
      <c r="R103" s="4" t="s">
        <v>165</v>
      </c>
      <c r="S103" s="4"/>
      <c r="T103" s="5">
        <v>42625</v>
      </c>
      <c r="U103" s="4" t="s">
        <v>45</v>
      </c>
      <c r="V103" s="4"/>
      <c r="W103" s="4"/>
      <c r="X103" s="4"/>
      <c r="Y103" s="4"/>
      <c r="Z103" s="4"/>
    </row>
    <row r="104" spans="1:26" hidden="1" x14ac:dyDescent="0.35">
      <c r="A104" s="11"/>
      <c r="B104" s="26" t="s">
        <v>52</v>
      </c>
      <c r="C104" s="4" t="s">
        <v>23</v>
      </c>
      <c r="D104" s="4" t="s">
        <v>314</v>
      </c>
      <c r="E104" s="4" t="s">
        <v>315</v>
      </c>
      <c r="F104" s="4" t="s">
        <v>210</v>
      </c>
      <c r="G104" s="4" t="s">
        <v>316</v>
      </c>
      <c r="H104" s="5">
        <v>42669</v>
      </c>
      <c r="I104" s="25">
        <v>0.41666666666666669</v>
      </c>
      <c r="J104" s="25">
        <v>0.4375</v>
      </c>
      <c r="K104" s="4">
        <v>30</v>
      </c>
      <c r="L104" s="4" t="s">
        <v>156</v>
      </c>
      <c r="M104" s="4" t="s">
        <v>269</v>
      </c>
      <c r="N104" s="4">
        <v>1810102958</v>
      </c>
      <c r="O104" s="4" t="s">
        <v>44</v>
      </c>
      <c r="P104" s="12">
        <v>42662.59747685185</v>
      </c>
      <c r="Q104" s="4" t="s">
        <v>465</v>
      </c>
      <c r="R104" s="4" t="s">
        <v>453</v>
      </c>
      <c r="S104" s="4"/>
      <c r="T104" s="5">
        <v>42662</v>
      </c>
      <c r="U104" s="4" t="s">
        <v>439</v>
      </c>
      <c r="V104" s="4"/>
      <c r="W104" s="4"/>
      <c r="X104" s="4"/>
      <c r="Y104" s="4"/>
      <c r="Z104" s="4"/>
    </row>
    <row r="105" spans="1:26" x14ac:dyDescent="0.35">
      <c r="A105" s="2"/>
      <c r="B105" s="8" t="s">
        <v>78</v>
      </c>
      <c r="C105" s="4" t="s">
        <v>23</v>
      </c>
      <c r="D105" s="4" t="s">
        <v>591</v>
      </c>
      <c r="E105" s="4" t="s">
        <v>592</v>
      </c>
      <c r="F105" s="4" t="s">
        <v>24</v>
      </c>
      <c r="G105" s="4" t="s">
        <v>593</v>
      </c>
      <c r="H105" s="5">
        <v>42669</v>
      </c>
      <c r="I105" s="24">
        <v>0.41666666666666669</v>
      </c>
      <c r="J105" s="25">
        <v>0.45833333333333337</v>
      </c>
      <c r="K105" s="4">
        <v>60</v>
      </c>
      <c r="L105" s="6" t="s">
        <v>167</v>
      </c>
      <c r="M105" s="4" t="s">
        <v>597</v>
      </c>
      <c r="N105" s="4">
        <v>1809078133</v>
      </c>
      <c r="O105" s="4" t="s">
        <v>44</v>
      </c>
      <c r="P105" s="12">
        <v>42629.680578703701</v>
      </c>
      <c r="Q105" s="4" t="s">
        <v>594</v>
      </c>
      <c r="R105" s="4" t="s">
        <v>201</v>
      </c>
      <c r="S105" s="4"/>
      <c r="T105" s="5">
        <v>42629</v>
      </c>
      <c r="U105" s="4" t="s">
        <v>478</v>
      </c>
      <c r="V105" s="4"/>
      <c r="W105" s="4"/>
      <c r="X105" s="4"/>
      <c r="Y105" s="4"/>
      <c r="Z105" s="4"/>
    </row>
    <row r="106" spans="1:26" x14ac:dyDescent="0.35">
      <c r="A106" s="2"/>
      <c r="B106" s="8" t="s">
        <v>598</v>
      </c>
      <c r="C106" s="4" t="s">
        <v>23</v>
      </c>
      <c r="D106" s="4" t="s">
        <v>599</v>
      </c>
      <c r="E106" s="4" t="s">
        <v>600</v>
      </c>
      <c r="F106" s="4" t="s">
        <v>24</v>
      </c>
      <c r="G106" s="4" t="s">
        <v>601</v>
      </c>
      <c r="H106" s="5">
        <v>42669</v>
      </c>
      <c r="I106" s="24">
        <v>0.4236111111111111</v>
      </c>
      <c r="J106" s="25">
        <v>0.46527777777777779</v>
      </c>
      <c r="K106" s="4">
        <v>60</v>
      </c>
      <c r="L106" s="14" t="s">
        <v>59</v>
      </c>
      <c r="M106" s="4" t="s">
        <v>60</v>
      </c>
      <c r="N106" s="4">
        <v>1808122580</v>
      </c>
      <c r="O106" s="4" t="s">
        <v>44</v>
      </c>
      <c r="P106" s="12">
        <v>42599.44971064815</v>
      </c>
      <c r="Q106" s="4"/>
      <c r="R106" s="4" t="s">
        <v>61</v>
      </c>
      <c r="S106" s="4"/>
      <c r="T106" s="5">
        <v>42599</v>
      </c>
      <c r="U106" s="4" t="s">
        <v>281</v>
      </c>
      <c r="V106" s="4"/>
      <c r="W106" s="4"/>
      <c r="X106" s="4"/>
      <c r="Y106" s="4"/>
      <c r="Z106" s="4"/>
    </row>
    <row r="107" spans="1:26" x14ac:dyDescent="0.35">
      <c r="A107" s="18"/>
      <c r="B107" s="20" t="s">
        <v>602</v>
      </c>
      <c r="C107" s="4" t="s">
        <v>23</v>
      </c>
      <c r="D107" s="4" t="s">
        <v>603</v>
      </c>
      <c r="E107" s="4" t="s">
        <v>604</v>
      </c>
      <c r="F107" s="4" t="s">
        <v>289</v>
      </c>
      <c r="G107" s="4" t="s">
        <v>605</v>
      </c>
      <c r="H107" s="5">
        <v>42669</v>
      </c>
      <c r="I107" s="25">
        <v>0.42708333333333331</v>
      </c>
      <c r="J107" s="25">
        <v>0.4375</v>
      </c>
      <c r="K107" s="4">
        <v>15</v>
      </c>
      <c r="L107" s="4" t="s">
        <v>120</v>
      </c>
      <c r="M107" s="4" t="s">
        <v>121</v>
      </c>
      <c r="N107" s="4">
        <v>1809966214</v>
      </c>
      <c r="O107" s="4" t="s">
        <v>44</v>
      </c>
      <c r="P107" s="12">
        <v>42657.645833333336</v>
      </c>
      <c r="Q107" s="4"/>
      <c r="R107" s="4" t="s">
        <v>120</v>
      </c>
      <c r="S107" s="4"/>
      <c r="T107" s="5">
        <v>42657</v>
      </c>
      <c r="U107" s="4" t="s">
        <v>606</v>
      </c>
      <c r="V107" s="4"/>
      <c r="W107" s="4"/>
      <c r="X107" s="4"/>
      <c r="Y107" s="4"/>
      <c r="Z107" s="4"/>
    </row>
    <row r="108" spans="1:26" hidden="1" x14ac:dyDescent="0.35">
      <c r="A108" s="9"/>
      <c r="B108" s="3" t="s">
        <v>22</v>
      </c>
      <c r="C108" s="4" t="s">
        <v>23</v>
      </c>
      <c r="D108" s="4" t="s">
        <v>607</v>
      </c>
      <c r="E108" s="4" t="s">
        <v>608</v>
      </c>
      <c r="F108" s="4" t="s">
        <v>24</v>
      </c>
      <c r="G108" s="4" t="s">
        <v>609</v>
      </c>
      <c r="H108" s="5">
        <v>42669</v>
      </c>
      <c r="I108" s="25">
        <v>0.42708333333333331</v>
      </c>
      <c r="J108" s="25">
        <v>0.4375</v>
      </c>
      <c r="K108" s="4">
        <v>15</v>
      </c>
      <c r="L108" s="4" t="s">
        <v>25</v>
      </c>
      <c r="M108" s="4" t="s">
        <v>25</v>
      </c>
      <c r="N108" s="4">
        <v>1810161476</v>
      </c>
      <c r="O108" s="4" t="s">
        <v>96</v>
      </c>
      <c r="P108" s="12">
        <v>42664.343101851853</v>
      </c>
      <c r="Q108" s="4" t="s">
        <v>610</v>
      </c>
      <c r="R108" s="4" t="s">
        <v>25</v>
      </c>
      <c r="S108" s="4"/>
      <c r="T108" s="5">
        <v>42664</v>
      </c>
      <c r="U108" s="4" t="s">
        <v>359</v>
      </c>
      <c r="V108" s="4"/>
      <c r="W108" s="4"/>
      <c r="X108" s="4"/>
      <c r="Y108" s="4"/>
      <c r="Z108" s="4"/>
    </row>
    <row r="109" spans="1:26" hidden="1" x14ac:dyDescent="0.35">
      <c r="A109" s="2"/>
      <c r="B109" s="13" t="s">
        <v>52</v>
      </c>
      <c r="C109" s="4" t="s">
        <v>23</v>
      </c>
      <c r="D109" s="4" t="s">
        <v>242</v>
      </c>
      <c r="E109" s="4" t="s">
        <v>611</v>
      </c>
      <c r="F109" s="4" t="s">
        <v>162</v>
      </c>
      <c r="G109" s="4" t="s">
        <v>612</v>
      </c>
      <c r="H109" s="5">
        <v>42669</v>
      </c>
      <c r="I109" s="24">
        <v>0.43055555555555558</v>
      </c>
      <c r="J109" s="25">
        <v>0.46527777777777779</v>
      </c>
      <c r="K109" s="4">
        <v>50</v>
      </c>
      <c r="L109" s="14" t="s">
        <v>59</v>
      </c>
      <c r="M109" s="4" t="s">
        <v>321</v>
      </c>
      <c r="N109" s="4">
        <v>1809727378</v>
      </c>
      <c r="O109" s="4" t="s">
        <v>96</v>
      </c>
      <c r="P109" s="12">
        <v>42650.496134259258</v>
      </c>
      <c r="Q109" s="4" t="s">
        <v>613</v>
      </c>
      <c r="R109" s="4" t="s">
        <v>61</v>
      </c>
      <c r="S109" s="4"/>
      <c r="T109" s="5">
        <v>42650</v>
      </c>
      <c r="U109" s="4" t="s">
        <v>62</v>
      </c>
      <c r="V109" s="4"/>
      <c r="W109" s="4"/>
      <c r="X109" s="4"/>
      <c r="Y109" s="4"/>
      <c r="Z109" s="4"/>
    </row>
    <row r="110" spans="1:26" hidden="1" x14ac:dyDescent="0.35">
      <c r="A110" s="2"/>
      <c r="B110" s="3" t="s">
        <v>22</v>
      </c>
      <c r="C110" s="4" t="s">
        <v>23</v>
      </c>
      <c r="D110" s="4" t="s">
        <v>614</v>
      </c>
      <c r="E110" s="4" t="s">
        <v>615</v>
      </c>
      <c r="F110" s="4" t="s">
        <v>114</v>
      </c>
      <c r="G110" s="4" t="s">
        <v>616</v>
      </c>
      <c r="H110" s="5">
        <v>42669</v>
      </c>
      <c r="I110" s="24">
        <v>0.43402777777777773</v>
      </c>
      <c r="J110" s="25">
        <v>0.45833333333333331</v>
      </c>
      <c r="K110" s="4">
        <v>25</v>
      </c>
      <c r="L110" s="6" t="s">
        <v>181</v>
      </c>
      <c r="M110" s="4"/>
      <c r="N110" s="4"/>
      <c r="O110" s="4"/>
      <c r="P110" s="12"/>
      <c r="Q110" s="4"/>
      <c r="R110" s="4"/>
      <c r="S110" s="4"/>
      <c r="T110" s="5"/>
      <c r="U110" s="4"/>
      <c r="V110" s="4"/>
      <c r="W110" s="4"/>
      <c r="X110" s="4"/>
      <c r="Y110" s="4"/>
      <c r="Z110" s="4"/>
    </row>
    <row r="111" spans="1:26" x14ac:dyDescent="0.35">
      <c r="A111" s="18"/>
      <c r="B111" s="20" t="s">
        <v>602</v>
      </c>
      <c r="C111" s="4" t="s">
        <v>23</v>
      </c>
      <c r="D111" s="4" t="s">
        <v>603</v>
      </c>
      <c r="E111" s="4" t="s">
        <v>604</v>
      </c>
      <c r="F111" s="4" t="s">
        <v>289</v>
      </c>
      <c r="G111" s="4" t="s">
        <v>605</v>
      </c>
      <c r="H111" s="5">
        <v>42669</v>
      </c>
      <c r="I111" s="25">
        <v>0.4375</v>
      </c>
      <c r="J111" s="25">
        <v>0.44791666666666669</v>
      </c>
      <c r="K111" s="4">
        <v>15</v>
      </c>
      <c r="L111" s="4" t="s">
        <v>138</v>
      </c>
      <c r="M111" s="4" t="s">
        <v>243</v>
      </c>
      <c r="N111" s="4">
        <v>1809965916</v>
      </c>
      <c r="O111" s="4" t="s">
        <v>44</v>
      </c>
      <c r="P111" s="12">
        <v>42657.643055555556</v>
      </c>
      <c r="Q111" s="4"/>
      <c r="R111" s="4" t="s">
        <v>138</v>
      </c>
      <c r="S111" s="4"/>
      <c r="T111" s="5">
        <v>42657</v>
      </c>
      <c r="U111" s="4" t="s">
        <v>606</v>
      </c>
      <c r="V111" s="4"/>
      <c r="W111" s="4"/>
      <c r="X111" s="4"/>
      <c r="Y111" s="4"/>
      <c r="Z111" s="4"/>
    </row>
    <row r="112" spans="1:26" hidden="1" x14ac:dyDescent="0.35">
      <c r="A112" s="17" t="s">
        <v>28</v>
      </c>
      <c r="B112" s="13" t="s">
        <v>52</v>
      </c>
      <c r="C112" s="4" t="s">
        <v>23</v>
      </c>
      <c r="D112" s="4" t="s">
        <v>405</v>
      </c>
      <c r="E112" s="4" t="s">
        <v>584</v>
      </c>
      <c r="F112" s="4" t="s">
        <v>292</v>
      </c>
      <c r="G112" s="4" t="s">
        <v>585</v>
      </c>
      <c r="H112" s="5">
        <v>42669</v>
      </c>
      <c r="I112" s="24">
        <v>0.4375</v>
      </c>
      <c r="J112" s="25">
        <v>0.45833333333333331</v>
      </c>
      <c r="K112" s="4">
        <v>30</v>
      </c>
      <c r="L112" s="6" t="s">
        <v>177</v>
      </c>
      <c r="M112" s="4" t="s">
        <v>50</v>
      </c>
      <c r="N112" s="4">
        <v>1807678125</v>
      </c>
      <c r="O112" s="4" t="s">
        <v>44</v>
      </c>
      <c r="P112" s="12">
        <v>42585.557164351849</v>
      </c>
      <c r="Q112" s="4"/>
      <c r="R112" s="4" t="s">
        <v>178</v>
      </c>
      <c r="S112" s="4"/>
      <c r="T112" s="5">
        <v>42585</v>
      </c>
      <c r="U112" s="4" t="s">
        <v>159</v>
      </c>
      <c r="V112" s="4"/>
      <c r="W112" s="4"/>
      <c r="X112" s="4"/>
      <c r="Y112" s="4"/>
      <c r="Z112" s="4"/>
    </row>
    <row r="113" spans="1:26" hidden="1" x14ac:dyDescent="0.35">
      <c r="A113" s="2"/>
      <c r="B113" s="3" t="s">
        <v>22</v>
      </c>
      <c r="C113" s="4" t="s">
        <v>23</v>
      </c>
      <c r="D113" s="4" t="s">
        <v>501</v>
      </c>
      <c r="E113" s="4" t="s">
        <v>502</v>
      </c>
      <c r="F113" s="4" t="s">
        <v>119</v>
      </c>
      <c r="G113" s="4" t="s">
        <v>503</v>
      </c>
      <c r="H113" s="5">
        <v>42669</v>
      </c>
      <c r="I113" s="24">
        <v>0.4375</v>
      </c>
      <c r="J113" s="25">
        <v>0.44791666666666669</v>
      </c>
      <c r="K113" s="4">
        <v>15</v>
      </c>
      <c r="L113" s="6" t="s">
        <v>25</v>
      </c>
      <c r="M113" s="4" t="s">
        <v>25</v>
      </c>
      <c r="N113" s="4">
        <v>1805869836</v>
      </c>
      <c r="O113" s="4" t="s">
        <v>44</v>
      </c>
      <c r="P113" s="12">
        <v>42529.630520833336</v>
      </c>
      <c r="Q113" s="4" t="s">
        <v>504</v>
      </c>
      <c r="R113" s="4" t="s">
        <v>25</v>
      </c>
      <c r="S113" s="4"/>
      <c r="T113" s="5">
        <v>42529</v>
      </c>
      <c r="U113" s="4" t="s">
        <v>39</v>
      </c>
      <c r="V113" s="4"/>
      <c r="W113" s="4"/>
      <c r="X113" s="4"/>
      <c r="Y113" s="4"/>
      <c r="Z113" s="4"/>
    </row>
    <row r="114" spans="1:26" x14ac:dyDescent="0.35">
      <c r="A114" s="2"/>
      <c r="B114" s="8" t="s">
        <v>129</v>
      </c>
      <c r="C114" s="4" t="s">
        <v>23</v>
      </c>
      <c r="D114" s="4" t="s">
        <v>617</v>
      </c>
      <c r="E114" s="4" t="s">
        <v>322</v>
      </c>
      <c r="F114" s="4" t="s">
        <v>37</v>
      </c>
      <c r="G114" s="4" t="s">
        <v>618</v>
      </c>
      <c r="H114" s="5">
        <v>42669</v>
      </c>
      <c r="I114" s="24">
        <v>0.4375</v>
      </c>
      <c r="J114" s="25">
        <v>0.46527777777777779</v>
      </c>
      <c r="K114" s="4">
        <v>40</v>
      </c>
      <c r="L114" s="15" t="s">
        <v>133</v>
      </c>
      <c r="M114" s="4" t="s">
        <v>619</v>
      </c>
      <c r="N114" s="4">
        <v>1809890217</v>
      </c>
      <c r="O114" s="4" t="s">
        <v>44</v>
      </c>
      <c r="P114" s="12">
        <v>42655.652314814812</v>
      </c>
      <c r="Q114" s="4" t="s">
        <v>620</v>
      </c>
      <c r="R114" s="4" t="s">
        <v>250</v>
      </c>
      <c r="S114" s="4"/>
      <c r="T114" s="5">
        <v>42655</v>
      </c>
      <c r="U114" s="4" t="s">
        <v>371</v>
      </c>
      <c r="V114" s="4"/>
      <c r="W114" s="4"/>
      <c r="X114" s="4"/>
      <c r="Y114" s="4"/>
      <c r="Z114" s="4"/>
    </row>
    <row r="115" spans="1:26" x14ac:dyDescent="0.35">
      <c r="A115" s="2"/>
      <c r="B115" s="8" t="s">
        <v>304</v>
      </c>
      <c r="C115" s="4" t="s">
        <v>23</v>
      </c>
      <c r="D115" s="4" t="s">
        <v>297</v>
      </c>
      <c r="E115" s="4" t="s">
        <v>298</v>
      </c>
      <c r="F115" s="4" t="s">
        <v>37</v>
      </c>
      <c r="G115" s="4" t="s">
        <v>299</v>
      </c>
      <c r="H115" s="5">
        <v>42669</v>
      </c>
      <c r="I115" s="24">
        <v>0.4375</v>
      </c>
      <c r="J115" s="25">
        <v>0.45833333333333331</v>
      </c>
      <c r="K115" s="4">
        <v>30</v>
      </c>
      <c r="L115" s="6" t="s">
        <v>177</v>
      </c>
      <c r="M115" s="4"/>
      <c r="N115" s="4"/>
      <c r="O115" s="4"/>
      <c r="P115" s="12"/>
      <c r="Q115" s="4"/>
      <c r="R115" s="4"/>
      <c r="S115" s="4"/>
      <c r="T115" s="5"/>
      <c r="U115" s="4"/>
      <c r="V115" s="4"/>
      <c r="W115" s="4"/>
      <c r="X115" s="4"/>
      <c r="Y115" s="4"/>
      <c r="Z115" s="4"/>
    </row>
    <row r="116" spans="1:26" hidden="1" x14ac:dyDescent="0.35">
      <c r="A116" s="17" t="s">
        <v>224</v>
      </c>
      <c r="B116" s="13" t="s">
        <v>52</v>
      </c>
      <c r="C116" s="4" t="s">
        <v>23</v>
      </c>
      <c r="D116" s="4" t="s">
        <v>621</v>
      </c>
      <c r="E116" s="4" t="s">
        <v>622</v>
      </c>
      <c r="F116" s="4" t="s">
        <v>623</v>
      </c>
      <c r="G116" s="4" t="s">
        <v>624</v>
      </c>
      <c r="H116" s="5">
        <v>42669</v>
      </c>
      <c r="I116" s="25">
        <v>0.44791666666666669</v>
      </c>
      <c r="J116" s="25">
        <v>0.45833333333333337</v>
      </c>
      <c r="K116" s="4">
        <v>15</v>
      </c>
      <c r="L116" s="4" t="s">
        <v>138</v>
      </c>
      <c r="M116" s="4" t="s">
        <v>243</v>
      </c>
      <c r="N116" s="4">
        <v>1810060359</v>
      </c>
      <c r="O116" s="4" t="s">
        <v>44</v>
      </c>
      <c r="P116" s="12">
        <v>42661.595057870371</v>
      </c>
      <c r="Q116" s="4"/>
      <c r="R116" s="4" t="s">
        <v>138</v>
      </c>
      <c r="S116" s="4"/>
      <c r="T116" s="5">
        <v>42661</v>
      </c>
      <c r="U116" s="4" t="s">
        <v>625</v>
      </c>
      <c r="V116" s="4"/>
      <c r="W116" s="4"/>
      <c r="X116" s="4"/>
      <c r="Y116" s="4"/>
      <c r="Z116" s="4"/>
    </row>
    <row r="117" spans="1:26" hidden="1" x14ac:dyDescent="0.35">
      <c r="A117" s="2"/>
      <c r="B117" s="10" t="s">
        <v>22</v>
      </c>
      <c r="C117" s="4" t="s">
        <v>23</v>
      </c>
      <c r="D117" s="4" t="s">
        <v>626</v>
      </c>
      <c r="E117" s="4" t="s">
        <v>185</v>
      </c>
      <c r="F117" s="4" t="s">
        <v>24</v>
      </c>
      <c r="G117" s="4" t="s">
        <v>627</v>
      </c>
      <c r="H117" s="5">
        <v>42669</v>
      </c>
      <c r="I117" s="24">
        <v>0.44791666666666669</v>
      </c>
      <c r="J117" s="25">
        <v>0.46875</v>
      </c>
      <c r="K117" s="4">
        <v>30</v>
      </c>
      <c r="L117" s="6" t="s">
        <v>181</v>
      </c>
      <c r="M117" s="4" t="s">
        <v>182</v>
      </c>
      <c r="N117" s="4">
        <v>1809646578</v>
      </c>
      <c r="O117" s="4" t="s">
        <v>44</v>
      </c>
      <c r="P117" s="12">
        <v>42648.601180555554</v>
      </c>
      <c r="Q117" s="4" t="s">
        <v>628</v>
      </c>
      <c r="R117" s="4" t="s">
        <v>181</v>
      </c>
      <c r="S117" s="4"/>
      <c r="T117" s="5">
        <v>42648</v>
      </c>
      <c r="U117" s="4" t="s">
        <v>478</v>
      </c>
      <c r="V117" s="4"/>
      <c r="W117" s="4"/>
      <c r="X117" s="4"/>
      <c r="Y117" s="4"/>
      <c r="Z117" s="4"/>
    </row>
    <row r="118" spans="1:26" x14ac:dyDescent="0.35">
      <c r="A118" s="18"/>
      <c r="B118" s="20" t="s">
        <v>602</v>
      </c>
      <c r="C118" s="4" t="s">
        <v>23</v>
      </c>
      <c r="D118" s="4" t="s">
        <v>603</v>
      </c>
      <c r="E118" s="4" t="s">
        <v>604</v>
      </c>
      <c r="F118" s="4" t="s">
        <v>289</v>
      </c>
      <c r="G118" s="4" t="s">
        <v>605</v>
      </c>
      <c r="H118" s="5">
        <v>42669</v>
      </c>
      <c r="I118" s="25">
        <v>0.45833333333333331</v>
      </c>
      <c r="J118" s="25">
        <v>0.5</v>
      </c>
      <c r="K118" s="4">
        <v>60</v>
      </c>
      <c r="L118" s="4" t="s">
        <v>179</v>
      </c>
      <c r="M118" s="4" t="s">
        <v>147</v>
      </c>
      <c r="N118" s="4">
        <v>1809966009</v>
      </c>
      <c r="O118" s="4" t="s">
        <v>44</v>
      </c>
      <c r="P118" s="12">
        <v>42657.643750000003</v>
      </c>
      <c r="Q118" s="4"/>
      <c r="R118" s="4" t="s">
        <v>202</v>
      </c>
      <c r="S118" s="4"/>
      <c r="T118" s="5">
        <v>42657</v>
      </c>
      <c r="U118" s="4" t="s">
        <v>606</v>
      </c>
      <c r="V118" s="4"/>
      <c r="W118" s="4"/>
      <c r="X118" s="4"/>
      <c r="Y118" s="4"/>
      <c r="Z118" s="4"/>
    </row>
    <row r="119" spans="1:26" x14ac:dyDescent="0.35">
      <c r="A119" s="9"/>
      <c r="B119" s="8" t="s">
        <v>346</v>
      </c>
      <c r="C119" s="4" t="s">
        <v>23</v>
      </c>
      <c r="D119" s="4" t="s">
        <v>143</v>
      </c>
      <c r="E119" s="4" t="s">
        <v>144</v>
      </c>
      <c r="F119" s="4" t="s">
        <v>41</v>
      </c>
      <c r="G119" s="4" t="s">
        <v>145</v>
      </c>
      <c r="H119" s="5">
        <v>42669</v>
      </c>
      <c r="I119" s="25">
        <v>0.45833333333333331</v>
      </c>
      <c r="J119" s="25">
        <v>0.5</v>
      </c>
      <c r="K119" s="4">
        <v>60</v>
      </c>
      <c r="L119" s="4" t="s">
        <v>163</v>
      </c>
      <c r="M119" s="4" t="s">
        <v>586</v>
      </c>
      <c r="N119" s="4">
        <v>1810142661</v>
      </c>
      <c r="O119" s="4" t="s">
        <v>44</v>
      </c>
      <c r="P119" s="12">
        <v>42663.567037037035</v>
      </c>
      <c r="Q119" s="4"/>
      <c r="R119" s="4" t="s">
        <v>163</v>
      </c>
      <c r="S119" s="4"/>
      <c r="T119" s="5">
        <v>42663</v>
      </c>
      <c r="U119" s="4" t="s">
        <v>164</v>
      </c>
      <c r="V119" s="4"/>
      <c r="W119" s="4"/>
      <c r="X119" s="4"/>
      <c r="Y119" s="4"/>
      <c r="Z119" s="4"/>
    </row>
    <row r="120" spans="1:26" x14ac:dyDescent="0.35">
      <c r="A120" s="7" t="s">
        <v>122</v>
      </c>
      <c r="B120" s="8" t="s">
        <v>123</v>
      </c>
      <c r="C120" s="4" t="s">
        <v>23</v>
      </c>
      <c r="D120" s="4" t="s">
        <v>218</v>
      </c>
      <c r="E120" s="4" t="s">
        <v>219</v>
      </c>
      <c r="F120" s="4" t="s">
        <v>114</v>
      </c>
      <c r="G120" s="4" t="s">
        <v>220</v>
      </c>
      <c r="H120" s="5">
        <v>42669</v>
      </c>
      <c r="I120" s="25">
        <v>0.45833333333333331</v>
      </c>
      <c r="J120" s="25">
        <v>0.48958333333333331</v>
      </c>
      <c r="K120" s="4">
        <v>45</v>
      </c>
      <c r="L120" s="4" t="s">
        <v>334</v>
      </c>
      <c r="M120" s="4" t="s">
        <v>335</v>
      </c>
      <c r="N120" s="4">
        <v>1810056166</v>
      </c>
      <c r="O120" s="4" t="s">
        <v>44</v>
      </c>
      <c r="P120" s="12">
        <v>42661.554664351854</v>
      </c>
      <c r="Q120" s="4" t="s">
        <v>222</v>
      </c>
      <c r="R120" s="4" t="s">
        <v>629</v>
      </c>
      <c r="S120" s="4" t="s">
        <v>395</v>
      </c>
      <c r="T120" s="5">
        <v>42661</v>
      </c>
      <c r="U120" s="4" t="s">
        <v>223</v>
      </c>
      <c r="V120" s="4" t="s">
        <v>17</v>
      </c>
      <c r="W120" s="4"/>
      <c r="X120" s="4"/>
      <c r="Y120" s="4"/>
      <c r="Z120" s="4"/>
    </row>
    <row r="121" spans="1:26" hidden="1" x14ac:dyDescent="0.35">
      <c r="A121" s="2"/>
      <c r="B121" s="10" t="s">
        <v>103</v>
      </c>
      <c r="C121" s="4" t="s">
        <v>23</v>
      </c>
      <c r="D121" s="4" t="s">
        <v>71</v>
      </c>
      <c r="E121" s="4" t="s">
        <v>72</v>
      </c>
      <c r="F121" s="4" t="s">
        <v>24</v>
      </c>
      <c r="G121" s="4" t="s">
        <v>73</v>
      </c>
      <c r="H121" s="5">
        <v>42669</v>
      </c>
      <c r="I121" s="24">
        <v>0.45833333333333331</v>
      </c>
      <c r="J121" s="25">
        <v>0.46875</v>
      </c>
      <c r="K121" s="4">
        <v>15</v>
      </c>
      <c r="L121" s="6" t="s">
        <v>630</v>
      </c>
      <c r="M121" s="4" t="s">
        <v>262</v>
      </c>
      <c r="N121" s="4">
        <v>1809882173</v>
      </c>
      <c r="O121" s="4" t="s">
        <v>44</v>
      </c>
      <c r="P121" s="12">
        <v>42655.575601851851</v>
      </c>
      <c r="Q121" s="4" t="s">
        <v>75</v>
      </c>
      <c r="R121" s="4" t="s">
        <v>74</v>
      </c>
      <c r="S121" s="4"/>
      <c r="T121" s="5">
        <v>42655</v>
      </c>
      <c r="U121" s="4" t="s">
        <v>77</v>
      </c>
      <c r="V121" s="4"/>
      <c r="W121" s="4"/>
      <c r="X121" s="4"/>
      <c r="Y121" s="4"/>
      <c r="Z121" s="4"/>
    </row>
    <row r="122" spans="1:26" x14ac:dyDescent="0.35">
      <c r="A122" s="7" t="s">
        <v>28</v>
      </c>
      <c r="B122" s="8" t="s">
        <v>161</v>
      </c>
      <c r="C122" s="4" t="s">
        <v>23</v>
      </c>
      <c r="D122" s="4" t="s">
        <v>576</v>
      </c>
      <c r="E122" s="4" t="s">
        <v>414</v>
      </c>
      <c r="F122" s="4" t="s">
        <v>162</v>
      </c>
      <c r="G122" s="4" t="s">
        <v>577</v>
      </c>
      <c r="H122" s="5">
        <v>42669</v>
      </c>
      <c r="I122" s="25">
        <v>0.45833333333333331</v>
      </c>
      <c r="J122" s="25">
        <v>0.47222222222222221</v>
      </c>
      <c r="K122" s="4">
        <v>20</v>
      </c>
      <c r="L122" s="4" t="s">
        <v>181</v>
      </c>
      <c r="M122" s="4" t="s">
        <v>239</v>
      </c>
      <c r="N122" s="4">
        <v>1810239841</v>
      </c>
      <c r="O122" s="4" t="s">
        <v>96</v>
      </c>
      <c r="P122" s="12">
        <v>42667.557662037034</v>
      </c>
      <c r="Q122" s="4"/>
      <c r="R122" s="4" t="s">
        <v>181</v>
      </c>
      <c r="S122" s="4"/>
      <c r="T122" s="5">
        <v>42667</v>
      </c>
      <c r="U122" s="4" t="s">
        <v>263</v>
      </c>
      <c r="V122" s="4"/>
      <c r="W122" s="4"/>
      <c r="X122" s="4"/>
      <c r="Y122" s="4"/>
      <c r="Z122" s="4"/>
    </row>
    <row r="123" spans="1:26" hidden="1" x14ac:dyDescent="0.35">
      <c r="A123" s="17" t="s">
        <v>224</v>
      </c>
      <c r="B123" s="13" t="s">
        <v>52</v>
      </c>
      <c r="C123" s="4" t="s">
        <v>23</v>
      </c>
      <c r="D123" s="4" t="s">
        <v>621</v>
      </c>
      <c r="E123" s="4" t="s">
        <v>622</v>
      </c>
      <c r="F123" s="4" t="s">
        <v>623</v>
      </c>
      <c r="G123" s="4" t="s">
        <v>624</v>
      </c>
      <c r="H123" s="5">
        <v>42669</v>
      </c>
      <c r="I123" s="25">
        <v>0.47222222222222227</v>
      </c>
      <c r="J123" s="25">
        <v>0.51388888888888895</v>
      </c>
      <c r="K123" s="4">
        <v>60</v>
      </c>
      <c r="L123" s="4" t="s">
        <v>49</v>
      </c>
      <c r="M123" s="4" t="s">
        <v>147</v>
      </c>
      <c r="N123" s="4">
        <v>1810060358</v>
      </c>
      <c r="O123" s="4" t="s">
        <v>44</v>
      </c>
      <c r="P123" s="12">
        <v>42661.595057870371</v>
      </c>
      <c r="Q123" s="4"/>
      <c r="R123" s="4" t="s">
        <v>165</v>
      </c>
      <c r="S123" s="4"/>
      <c r="T123" s="5">
        <v>42661</v>
      </c>
      <c r="U123" s="4" t="s">
        <v>625</v>
      </c>
      <c r="V123" s="4"/>
      <c r="W123" s="4"/>
      <c r="X123" s="4"/>
      <c r="Y123" s="4"/>
      <c r="Z123" s="4"/>
    </row>
    <row r="124" spans="1:26" x14ac:dyDescent="0.35">
      <c r="A124" s="9"/>
      <c r="B124" s="8" t="s">
        <v>474</v>
      </c>
      <c r="C124" s="4" t="s">
        <v>23</v>
      </c>
      <c r="D124" s="4" t="s">
        <v>230</v>
      </c>
      <c r="E124" s="4" t="s">
        <v>441</v>
      </c>
      <c r="F124" s="4" t="s">
        <v>41</v>
      </c>
      <c r="G124" s="4" t="s">
        <v>442</v>
      </c>
      <c r="H124" s="5">
        <v>42669</v>
      </c>
      <c r="I124" s="25">
        <v>0.47916666666666669</v>
      </c>
      <c r="J124" s="25">
        <v>0.49305555555555558</v>
      </c>
      <c r="K124" s="4">
        <v>20</v>
      </c>
      <c r="L124" s="15" t="s">
        <v>133</v>
      </c>
      <c r="M124" s="4" t="s">
        <v>631</v>
      </c>
      <c r="N124" s="4">
        <v>1810248457</v>
      </c>
      <c r="O124" s="4" t="s">
        <v>96</v>
      </c>
      <c r="P124" s="12">
        <v>42667.632106481484</v>
      </c>
      <c r="Q124" s="4" t="s">
        <v>443</v>
      </c>
      <c r="R124" s="4" t="s">
        <v>271</v>
      </c>
      <c r="S124" s="4"/>
      <c r="T124" s="5">
        <v>42667</v>
      </c>
      <c r="U124" s="4" t="s">
        <v>371</v>
      </c>
      <c r="V124" s="4"/>
      <c r="W124" s="4"/>
      <c r="X124" s="4"/>
      <c r="Y124" s="4"/>
      <c r="Z124" s="4"/>
    </row>
    <row r="125" spans="1:26" x14ac:dyDescent="0.35">
      <c r="A125" s="7" t="s">
        <v>499</v>
      </c>
      <c r="B125" s="8" t="s">
        <v>118</v>
      </c>
      <c r="C125" s="4" t="s">
        <v>23</v>
      </c>
      <c r="D125" s="4" t="s">
        <v>501</v>
      </c>
      <c r="E125" s="4" t="s">
        <v>502</v>
      </c>
      <c r="F125" s="4" t="s">
        <v>119</v>
      </c>
      <c r="G125" s="4" t="s">
        <v>503</v>
      </c>
      <c r="H125" s="5">
        <v>42669</v>
      </c>
      <c r="I125" s="24">
        <v>0.47916666666666669</v>
      </c>
      <c r="J125" s="25">
        <v>0.5</v>
      </c>
      <c r="K125" s="4">
        <v>30</v>
      </c>
      <c r="L125" s="6" t="s">
        <v>156</v>
      </c>
      <c r="M125" s="4" t="s">
        <v>269</v>
      </c>
      <c r="N125" s="4">
        <v>1805869838</v>
      </c>
      <c r="O125" s="4" t="s">
        <v>44</v>
      </c>
      <c r="P125" s="12">
        <v>42529.630520833336</v>
      </c>
      <c r="Q125" s="4" t="s">
        <v>504</v>
      </c>
      <c r="R125" s="4" t="s">
        <v>453</v>
      </c>
      <c r="S125" s="4"/>
      <c r="T125" s="5">
        <v>42529</v>
      </c>
      <c r="U125" s="4" t="s">
        <v>39</v>
      </c>
      <c r="V125" s="4"/>
      <c r="W125" s="4"/>
      <c r="X125" s="4"/>
      <c r="Y125" s="4"/>
      <c r="Z125" s="4"/>
    </row>
    <row r="126" spans="1:26" x14ac:dyDescent="0.35">
      <c r="A126" s="7" t="s">
        <v>166</v>
      </c>
      <c r="B126" s="8" t="s">
        <v>176</v>
      </c>
      <c r="C126" s="4" t="s">
        <v>23</v>
      </c>
      <c r="D126" s="4" t="s">
        <v>226</v>
      </c>
      <c r="E126" s="4" t="s">
        <v>466</v>
      </c>
      <c r="F126" s="4" t="s">
        <v>37</v>
      </c>
      <c r="G126" s="4" t="s">
        <v>467</v>
      </c>
      <c r="H126" s="5">
        <v>42669</v>
      </c>
      <c r="I126" s="24">
        <v>0.47916666666666669</v>
      </c>
      <c r="J126" s="25">
        <v>0.58333333333333337</v>
      </c>
      <c r="K126" s="4">
        <v>150</v>
      </c>
      <c r="L126" s="6" t="s">
        <v>323</v>
      </c>
      <c r="M126" s="4" t="s">
        <v>632</v>
      </c>
      <c r="N126" s="4">
        <v>1808987781</v>
      </c>
      <c r="O126" s="4" t="s">
        <v>44</v>
      </c>
      <c r="P126" s="12">
        <v>42627.633923611109</v>
      </c>
      <c r="Q126" s="4" t="s">
        <v>468</v>
      </c>
      <c r="R126" s="4" t="s">
        <v>389</v>
      </c>
      <c r="S126" s="4"/>
      <c r="T126" s="5">
        <v>42627</v>
      </c>
      <c r="U126" s="4" t="s">
        <v>390</v>
      </c>
      <c r="V126" s="4"/>
      <c r="W126" s="4"/>
      <c r="X126" s="4"/>
      <c r="Y126" s="4"/>
      <c r="Z126" s="4"/>
    </row>
    <row r="127" spans="1:26" x14ac:dyDescent="0.35">
      <c r="A127" s="9"/>
      <c r="B127" s="8" t="s">
        <v>78</v>
      </c>
      <c r="C127" s="4" t="s">
        <v>23</v>
      </c>
      <c r="D127" s="4" t="s">
        <v>607</v>
      </c>
      <c r="E127" s="4" t="s">
        <v>608</v>
      </c>
      <c r="F127" s="4" t="s">
        <v>24</v>
      </c>
      <c r="G127" s="4" t="s">
        <v>609</v>
      </c>
      <c r="H127" s="5">
        <v>42669</v>
      </c>
      <c r="I127" s="25">
        <v>0.47916666666666669</v>
      </c>
      <c r="J127" s="25">
        <v>0.5</v>
      </c>
      <c r="K127" s="4">
        <v>30</v>
      </c>
      <c r="L127" s="4" t="s">
        <v>156</v>
      </c>
      <c r="M127" s="4" t="s">
        <v>269</v>
      </c>
      <c r="N127" s="4">
        <v>1810156333</v>
      </c>
      <c r="O127" s="4" t="s">
        <v>44</v>
      </c>
      <c r="P127" s="12">
        <v>42663.732314814813</v>
      </c>
      <c r="Q127" s="4" t="s">
        <v>610</v>
      </c>
      <c r="R127" s="4" t="s">
        <v>453</v>
      </c>
      <c r="S127" s="4"/>
      <c r="T127" s="5">
        <v>42663</v>
      </c>
      <c r="U127" s="4" t="s">
        <v>413</v>
      </c>
      <c r="V127" s="4"/>
      <c r="W127" s="4"/>
      <c r="X127" s="4"/>
      <c r="Y127" s="4"/>
      <c r="Z127" s="4"/>
    </row>
    <row r="128" spans="1:26" hidden="1" x14ac:dyDescent="0.35">
      <c r="A128" s="2"/>
      <c r="B128" s="3" t="s">
        <v>22</v>
      </c>
      <c r="C128" s="4" t="s">
        <v>23</v>
      </c>
      <c r="D128" s="4" t="s">
        <v>633</v>
      </c>
      <c r="E128" s="4" t="s">
        <v>634</v>
      </c>
      <c r="F128" s="4" t="s">
        <v>24</v>
      </c>
      <c r="G128" s="4" t="s">
        <v>635</v>
      </c>
      <c r="H128" s="5">
        <v>42669</v>
      </c>
      <c r="I128" s="24">
        <v>0.47916666666666669</v>
      </c>
      <c r="J128" s="25">
        <v>0.48958333333333337</v>
      </c>
      <c r="K128" s="4">
        <v>15</v>
      </c>
      <c r="L128" s="6" t="s">
        <v>25</v>
      </c>
      <c r="M128" s="4" t="s">
        <v>25</v>
      </c>
      <c r="N128" s="4">
        <v>1804861790</v>
      </c>
      <c r="O128" s="4" t="s">
        <v>96</v>
      </c>
      <c r="P128" s="12">
        <v>42495.655694444446</v>
      </c>
      <c r="Q128" s="4" t="s">
        <v>636</v>
      </c>
      <c r="R128" s="4" t="s">
        <v>25</v>
      </c>
      <c r="S128" s="4"/>
      <c r="T128" s="5">
        <v>42495</v>
      </c>
      <c r="U128" s="4" t="s">
        <v>637</v>
      </c>
      <c r="V128" s="4"/>
      <c r="W128" s="4"/>
      <c r="X128" s="4"/>
      <c r="Y128" s="4"/>
      <c r="Z128" s="4"/>
    </row>
    <row r="129" spans="1:26" x14ac:dyDescent="0.35">
      <c r="A129" s="18"/>
      <c r="B129" s="8" t="s">
        <v>57</v>
      </c>
      <c r="C129" s="4" t="s">
        <v>23</v>
      </c>
      <c r="D129" s="9" t="s">
        <v>264</v>
      </c>
      <c r="E129" s="9" t="s">
        <v>265</v>
      </c>
      <c r="F129" s="9" t="s">
        <v>266</v>
      </c>
      <c r="G129" s="9" t="s">
        <v>267</v>
      </c>
      <c r="H129" s="19">
        <v>42669</v>
      </c>
      <c r="I129" s="27">
        <v>0.48958333333333331</v>
      </c>
      <c r="J129" s="27">
        <v>0.52083333333333337</v>
      </c>
      <c r="K129" s="9">
        <v>45</v>
      </c>
      <c r="L129" s="4" t="s">
        <v>291</v>
      </c>
      <c r="M129" s="9" t="s">
        <v>638</v>
      </c>
      <c r="N129" s="9">
        <v>1809920345</v>
      </c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idden="1" x14ac:dyDescent="0.35">
      <c r="A130" s="2"/>
      <c r="B130" s="3" t="s">
        <v>22</v>
      </c>
      <c r="C130" s="4" t="s">
        <v>23</v>
      </c>
      <c r="D130" s="4" t="s">
        <v>328</v>
      </c>
      <c r="E130" s="4" t="s">
        <v>329</v>
      </c>
      <c r="F130" s="4" t="s">
        <v>307</v>
      </c>
      <c r="G130" s="4" t="s">
        <v>330</v>
      </c>
      <c r="H130" s="5">
        <v>42669</v>
      </c>
      <c r="I130" s="24">
        <v>0.5</v>
      </c>
      <c r="J130" s="25">
        <v>0.51041666666666663</v>
      </c>
      <c r="K130" s="4">
        <v>15</v>
      </c>
      <c r="L130" s="6" t="s">
        <v>25</v>
      </c>
      <c r="M130" s="4" t="s">
        <v>25</v>
      </c>
      <c r="N130" s="4">
        <v>1809886682</v>
      </c>
      <c r="O130" s="4" t="s">
        <v>44</v>
      </c>
      <c r="P130" s="12">
        <v>42655.619039351855</v>
      </c>
      <c r="Q130" s="4"/>
      <c r="R130" s="4" t="s">
        <v>25</v>
      </c>
      <c r="S130" s="4"/>
      <c r="T130" s="5">
        <v>42655</v>
      </c>
      <c r="U130" s="4" t="s">
        <v>248</v>
      </c>
      <c r="V130" s="4"/>
      <c r="W130" s="4"/>
      <c r="X130" s="4"/>
      <c r="Y130" s="4"/>
      <c r="Z130" s="4"/>
    </row>
    <row r="131" spans="1:26" x14ac:dyDescent="0.35">
      <c r="A131" s="2"/>
      <c r="B131" s="8" t="s">
        <v>304</v>
      </c>
      <c r="C131" s="4" t="s">
        <v>23</v>
      </c>
      <c r="D131" s="4" t="s">
        <v>297</v>
      </c>
      <c r="E131" s="4" t="s">
        <v>298</v>
      </c>
      <c r="F131" s="4" t="s">
        <v>37</v>
      </c>
      <c r="G131" s="4" t="s">
        <v>299</v>
      </c>
      <c r="H131" s="5">
        <v>42669</v>
      </c>
      <c r="I131" s="24">
        <v>0.5</v>
      </c>
      <c r="J131" s="25">
        <v>0.58333333333333337</v>
      </c>
      <c r="K131" s="4">
        <v>120</v>
      </c>
      <c r="L131" s="6" t="s">
        <v>26</v>
      </c>
      <c r="M131" s="4" t="s">
        <v>175</v>
      </c>
      <c r="N131" s="4">
        <v>1808569729</v>
      </c>
      <c r="O131" s="4" t="s">
        <v>44</v>
      </c>
      <c r="P131" s="12">
        <v>42613.633009259262</v>
      </c>
      <c r="Q131" s="4"/>
      <c r="R131" s="4" t="s">
        <v>27</v>
      </c>
      <c r="S131" s="4"/>
      <c r="T131" s="5">
        <v>42613</v>
      </c>
      <c r="U131" s="4" t="s">
        <v>159</v>
      </c>
      <c r="V131" s="4"/>
      <c r="W131" s="4"/>
      <c r="X131" s="4"/>
      <c r="Y131" s="4"/>
      <c r="Z131" s="4"/>
    </row>
    <row r="132" spans="1:26" x14ac:dyDescent="0.35">
      <c r="A132" s="2"/>
      <c r="B132" s="8" t="s">
        <v>598</v>
      </c>
      <c r="C132" s="4" t="s">
        <v>23</v>
      </c>
      <c r="D132" s="4" t="s">
        <v>599</v>
      </c>
      <c r="E132" s="4" t="s">
        <v>600</v>
      </c>
      <c r="F132" s="4" t="s">
        <v>24</v>
      </c>
      <c r="G132" s="4" t="s">
        <v>601</v>
      </c>
      <c r="H132" s="5">
        <v>42669</v>
      </c>
      <c r="I132" s="24">
        <v>0.5</v>
      </c>
      <c r="J132" s="25">
        <v>0.54166666666666663</v>
      </c>
      <c r="K132" s="4">
        <v>60</v>
      </c>
      <c r="L132" s="14" t="s">
        <v>93</v>
      </c>
      <c r="M132" s="4" t="s">
        <v>303</v>
      </c>
      <c r="N132" s="4">
        <v>1808122581</v>
      </c>
      <c r="O132" s="4" t="s">
        <v>44</v>
      </c>
      <c r="P132" s="12">
        <v>42599.44971064815</v>
      </c>
      <c r="Q132" s="4"/>
      <c r="R132" s="4" t="s">
        <v>95</v>
      </c>
      <c r="S132" s="4" t="s">
        <v>51</v>
      </c>
      <c r="T132" s="5">
        <v>42599</v>
      </c>
      <c r="U132" s="4" t="s">
        <v>281</v>
      </c>
      <c r="V132" s="4" t="s">
        <v>17</v>
      </c>
      <c r="W132" s="4"/>
      <c r="X132" s="4"/>
      <c r="Y132" s="4"/>
      <c r="Z132" s="4"/>
    </row>
    <row r="133" spans="1:26" hidden="1" x14ac:dyDescent="0.35">
      <c r="A133" s="2"/>
      <c r="B133" s="3" t="s">
        <v>22</v>
      </c>
      <c r="C133" s="4" t="s">
        <v>23</v>
      </c>
      <c r="D133" s="4" t="s">
        <v>639</v>
      </c>
      <c r="E133" s="4" t="s">
        <v>640</v>
      </c>
      <c r="F133" s="4" t="s">
        <v>292</v>
      </c>
      <c r="G133" s="4" t="s">
        <v>641</v>
      </c>
      <c r="H133" s="5">
        <v>42669</v>
      </c>
      <c r="I133" s="24">
        <v>0.52083333333333337</v>
      </c>
      <c r="J133" s="25">
        <v>0.53125</v>
      </c>
      <c r="K133" s="4">
        <v>15</v>
      </c>
      <c r="L133" s="6" t="s">
        <v>25</v>
      </c>
      <c r="M133" s="4" t="s">
        <v>25</v>
      </c>
      <c r="N133" s="4">
        <v>1809769112</v>
      </c>
      <c r="O133" s="4" t="s">
        <v>44</v>
      </c>
      <c r="P133" s="12">
        <v>42653.419120370374</v>
      </c>
      <c r="Q133" s="4" t="s">
        <v>642</v>
      </c>
      <c r="R133" s="4" t="s">
        <v>25</v>
      </c>
      <c r="S133" s="4"/>
      <c r="T133" s="5">
        <v>42653</v>
      </c>
      <c r="U133" s="4" t="s">
        <v>401</v>
      </c>
      <c r="V133" s="4"/>
      <c r="W133" s="4"/>
      <c r="X133" s="4"/>
      <c r="Y133" s="4"/>
      <c r="Z133" s="4"/>
    </row>
    <row r="134" spans="1:26" hidden="1" x14ac:dyDescent="0.35">
      <c r="A134" s="9"/>
      <c r="B134" s="3" t="s">
        <v>22</v>
      </c>
      <c r="C134" s="4" t="s">
        <v>23</v>
      </c>
      <c r="D134" s="4" t="s">
        <v>242</v>
      </c>
      <c r="E134" s="4" t="s">
        <v>384</v>
      </c>
      <c r="F134" s="4" t="s">
        <v>162</v>
      </c>
      <c r="G134" s="4" t="s">
        <v>385</v>
      </c>
      <c r="H134" s="5">
        <v>42669</v>
      </c>
      <c r="I134" s="25">
        <v>0.52083333333333337</v>
      </c>
      <c r="J134" s="25">
        <v>0.53125</v>
      </c>
      <c r="K134" s="4">
        <v>15</v>
      </c>
      <c r="L134" s="4" t="s">
        <v>25</v>
      </c>
      <c r="M134" s="4" t="s">
        <v>25</v>
      </c>
      <c r="N134" s="4">
        <v>1810237274</v>
      </c>
      <c r="O134" s="4" t="s">
        <v>399</v>
      </c>
      <c r="P134" s="12">
        <v>42667.536446759259</v>
      </c>
      <c r="Q134" s="4" t="s">
        <v>386</v>
      </c>
      <c r="R134" s="4" t="s">
        <v>25</v>
      </c>
      <c r="S134" s="4" t="s">
        <v>369</v>
      </c>
      <c r="T134" s="5">
        <v>42667</v>
      </c>
      <c r="U134" s="4" t="s">
        <v>382</v>
      </c>
      <c r="V134" s="4" t="s">
        <v>17</v>
      </c>
      <c r="W134" s="4"/>
      <c r="X134" s="4"/>
      <c r="Y134" s="4"/>
      <c r="Z134" s="4"/>
    </row>
    <row r="135" spans="1:26" hidden="1" x14ac:dyDescent="0.35">
      <c r="A135" s="9"/>
      <c r="B135" s="26" t="s">
        <v>52</v>
      </c>
      <c r="C135" s="4" t="s">
        <v>23</v>
      </c>
      <c r="D135" s="4" t="s">
        <v>643</v>
      </c>
      <c r="E135" s="4" t="s">
        <v>644</v>
      </c>
      <c r="F135" s="4" t="s">
        <v>645</v>
      </c>
      <c r="G135" s="4" t="s">
        <v>646</v>
      </c>
      <c r="H135" s="5">
        <v>42669</v>
      </c>
      <c r="I135" s="25">
        <v>0.52777777777777779</v>
      </c>
      <c r="J135" s="25">
        <v>0.55555555555555558</v>
      </c>
      <c r="K135" s="4">
        <v>40</v>
      </c>
      <c r="L135" s="15" t="s">
        <v>133</v>
      </c>
      <c r="M135" s="4" t="s">
        <v>647</v>
      </c>
      <c r="N135" s="4">
        <v>1810180837</v>
      </c>
      <c r="O135" s="4" t="s">
        <v>96</v>
      </c>
      <c r="P135" s="12">
        <v>42664.52925925926</v>
      </c>
      <c r="Q135" s="4"/>
      <c r="R135" s="4" t="s">
        <v>648</v>
      </c>
      <c r="S135" s="4"/>
      <c r="T135" s="5">
        <v>42664</v>
      </c>
      <c r="U135" s="4" t="s">
        <v>251</v>
      </c>
      <c r="V135" s="4"/>
      <c r="W135" s="4"/>
      <c r="X135" s="4"/>
      <c r="Y135" s="4"/>
      <c r="Z135" s="4"/>
    </row>
    <row r="136" spans="1:26" x14ac:dyDescent="0.35">
      <c r="A136" s="9"/>
      <c r="B136" s="8" t="s">
        <v>397</v>
      </c>
      <c r="C136" s="4" t="s">
        <v>23</v>
      </c>
      <c r="D136" s="4" t="s">
        <v>328</v>
      </c>
      <c r="E136" s="4" t="s">
        <v>329</v>
      </c>
      <c r="F136" s="4" t="s">
        <v>307</v>
      </c>
      <c r="G136" s="4" t="s">
        <v>330</v>
      </c>
      <c r="H136" s="5">
        <v>42669</v>
      </c>
      <c r="I136" s="25">
        <v>0.52083333333333337</v>
      </c>
      <c r="J136" s="25">
        <v>0.54166666666666663</v>
      </c>
      <c r="K136" s="4">
        <v>30</v>
      </c>
      <c r="L136" s="4" t="s">
        <v>156</v>
      </c>
      <c r="M136" s="4"/>
      <c r="N136" s="4"/>
      <c r="O136" s="4"/>
      <c r="P136" s="12"/>
      <c r="Q136" s="4"/>
      <c r="R136" s="4"/>
      <c r="S136" s="4"/>
      <c r="T136" s="5"/>
      <c r="U136" s="4"/>
      <c r="V136" s="4"/>
      <c r="W136" s="4"/>
      <c r="X136" s="4"/>
      <c r="Y136" s="4"/>
      <c r="Z136" s="4"/>
    </row>
    <row r="137" spans="1:26" x14ac:dyDescent="0.35">
      <c r="A137" s="2"/>
      <c r="B137" s="8" t="s">
        <v>397</v>
      </c>
      <c r="C137" s="4" t="s">
        <v>23</v>
      </c>
      <c r="D137" s="4" t="s">
        <v>328</v>
      </c>
      <c r="E137" s="4" t="s">
        <v>329</v>
      </c>
      <c r="F137" s="4" t="s">
        <v>307</v>
      </c>
      <c r="G137" s="4" t="s">
        <v>330</v>
      </c>
      <c r="H137" s="5">
        <v>42669</v>
      </c>
      <c r="I137" s="24">
        <v>0.54166666666666663</v>
      </c>
      <c r="J137" s="25">
        <v>0.58333333333333326</v>
      </c>
      <c r="K137" s="4">
        <v>60</v>
      </c>
      <c r="L137" s="6" t="s">
        <v>26</v>
      </c>
      <c r="M137" s="4" t="s">
        <v>268</v>
      </c>
      <c r="N137" s="4">
        <v>1809886683</v>
      </c>
      <c r="O137" s="4" t="s">
        <v>44</v>
      </c>
      <c r="P137" s="12">
        <v>42655.619039351855</v>
      </c>
      <c r="Q137" s="4"/>
      <c r="R137" s="4" t="s">
        <v>27</v>
      </c>
      <c r="S137" s="4"/>
      <c r="T137" s="5">
        <v>42655</v>
      </c>
      <c r="U137" s="4" t="s">
        <v>248</v>
      </c>
      <c r="V137" s="4"/>
      <c r="W137" s="4"/>
      <c r="X137" s="4"/>
      <c r="Y137" s="4"/>
      <c r="Z137" s="4"/>
    </row>
    <row r="138" spans="1:26" hidden="1" x14ac:dyDescent="0.35">
      <c r="A138" s="2"/>
      <c r="B138" s="10" t="s">
        <v>103</v>
      </c>
      <c r="C138" s="4" t="s">
        <v>23</v>
      </c>
      <c r="D138" s="4" t="s">
        <v>555</v>
      </c>
      <c r="E138" s="4" t="s">
        <v>204</v>
      </c>
      <c r="F138" s="4" t="s">
        <v>24</v>
      </c>
      <c r="G138" s="4" t="s">
        <v>556</v>
      </c>
      <c r="H138" s="5">
        <v>42669</v>
      </c>
      <c r="I138" s="24">
        <v>0.54166666666666663</v>
      </c>
      <c r="J138" s="25">
        <v>0.55208333333333326</v>
      </c>
      <c r="K138" s="4">
        <v>15</v>
      </c>
      <c r="L138" s="6" t="s">
        <v>261</v>
      </c>
      <c r="M138" s="4" t="s">
        <v>262</v>
      </c>
      <c r="N138" s="4">
        <v>1809922610</v>
      </c>
      <c r="O138" s="4" t="s">
        <v>44</v>
      </c>
      <c r="P138" s="12">
        <v>42656.575370370374</v>
      </c>
      <c r="Q138" s="4"/>
      <c r="R138" s="4" t="s">
        <v>156</v>
      </c>
      <c r="S138" s="4"/>
      <c r="T138" s="5">
        <v>42656</v>
      </c>
      <c r="U138" s="4" t="s">
        <v>234</v>
      </c>
      <c r="V138" s="4"/>
      <c r="W138" s="4"/>
      <c r="X138" s="4"/>
      <c r="Y138" s="4"/>
      <c r="Z138" s="4"/>
    </row>
    <row r="139" spans="1:26" x14ac:dyDescent="0.35">
      <c r="A139" s="18"/>
      <c r="B139" s="8" t="s">
        <v>57</v>
      </c>
      <c r="C139" s="4" t="s">
        <v>23</v>
      </c>
      <c r="D139" s="9" t="s">
        <v>264</v>
      </c>
      <c r="E139" s="9" t="s">
        <v>265</v>
      </c>
      <c r="F139" s="9" t="s">
        <v>266</v>
      </c>
      <c r="G139" s="9" t="s">
        <v>267</v>
      </c>
      <c r="H139" s="19">
        <v>42669</v>
      </c>
      <c r="I139" s="27">
        <v>0.54166666666666663</v>
      </c>
      <c r="J139" s="27">
        <v>0.58333333333333337</v>
      </c>
      <c r="K139" s="9">
        <v>60</v>
      </c>
      <c r="L139" s="9" t="s">
        <v>562</v>
      </c>
      <c r="M139" s="9" t="s">
        <v>649</v>
      </c>
      <c r="N139" s="9">
        <v>1809772712</v>
      </c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x14ac:dyDescent="0.35">
      <c r="A140" s="7" t="s">
        <v>567</v>
      </c>
      <c r="B140" s="8" t="s">
        <v>78</v>
      </c>
      <c r="C140" s="4" t="s">
        <v>23</v>
      </c>
      <c r="D140" s="4" t="s">
        <v>650</v>
      </c>
      <c r="E140" s="4" t="s">
        <v>651</v>
      </c>
      <c r="F140" s="4" t="s">
        <v>24</v>
      </c>
      <c r="G140" s="4" t="s">
        <v>652</v>
      </c>
      <c r="H140" s="5">
        <v>42669</v>
      </c>
      <c r="I140" s="24">
        <v>0.54166666666666663</v>
      </c>
      <c r="J140" s="25">
        <v>0.57638888888888895</v>
      </c>
      <c r="K140" s="4">
        <v>50</v>
      </c>
      <c r="L140" s="15" t="s">
        <v>133</v>
      </c>
      <c r="M140" s="4" t="s">
        <v>134</v>
      </c>
      <c r="N140" s="4">
        <v>1808769400</v>
      </c>
      <c r="O140" s="4" t="s">
        <v>96</v>
      </c>
      <c r="P140" s="12">
        <v>42621.432291666664</v>
      </c>
      <c r="Q140" s="4" t="s">
        <v>653</v>
      </c>
      <c r="R140" s="4" t="s">
        <v>136</v>
      </c>
      <c r="S140" s="4"/>
      <c r="T140" s="5">
        <v>42621</v>
      </c>
      <c r="U140" s="4" t="s">
        <v>251</v>
      </c>
      <c r="V140" s="4"/>
      <c r="W140" s="4"/>
      <c r="X140" s="4"/>
      <c r="Y140" s="4"/>
      <c r="Z140" s="4"/>
    </row>
    <row r="141" spans="1:26" x14ac:dyDescent="0.35">
      <c r="A141" s="7" t="s">
        <v>28</v>
      </c>
      <c r="B141" s="8" t="s">
        <v>235</v>
      </c>
      <c r="C141" s="4" t="s">
        <v>23</v>
      </c>
      <c r="D141" s="4" t="s">
        <v>633</v>
      </c>
      <c r="E141" s="4" t="s">
        <v>634</v>
      </c>
      <c r="F141" s="4" t="s">
        <v>24</v>
      </c>
      <c r="G141" s="4" t="s">
        <v>635</v>
      </c>
      <c r="H141" s="5">
        <v>42669</v>
      </c>
      <c r="I141" s="24">
        <v>0.54166666666666663</v>
      </c>
      <c r="J141" s="25">
        <v>0.5625</v>
      </c>
      <c r="K141" s="4">
        <v>30</v>
      </c>
      <c r="L141" s="6" t="s">
        <v>461</v>
      </c>
      <c r="M141" s="4" t="s">
        <v>50</v>
      </c>
      <c r="N141" s="4">
        <v>1804861794</v>
      </c>
      <c r="O141" s="4" t="s">
        <v>96</v>
      </c>
      <c r="P141" s="12">
        <v>42495.655717592592</v>
      </c>
      <c r="Q141" s="4" t="s">
        <v>636</v>
      </c>
      <c r="R141" s="4" t="s">
        <v>462</v>
      </c>
      <c r="S141" s="4" t="s">
        <v>654</v>
      </c>
      <c r="T141" s="5">
        <v>42495</v>
      </c>
      <c r="U141" s="4" t="s">
        <v>637</v>
      </c>
      <c r="V141" s="4" t="s">
        <v>17</v>
      </c>
      <c r="W141" s="4"/>
      <c r="X141" s="4"/>
      <c r="Y141" s="4"/>
      <c r="Z141" s="4"/>
    </row>
    <row r="142" spans="1:26" x14ac:dyDescent="0.35">
      <c r="A142" s="2"/>
      <c r="B142" s="8" t="s">
        <v>293</v>
      </c>
      <c r="C142" s="4" t="s">
        <v>23</v>
      </c>
      <c r="D142" s="4" t="s">
        <v>639</v>
      </c>
      <c r="E142" s="4" t="s">
        <v>640</v>
      </c>
      <c r="F142" s="4" t="s">
        <v>292</v>
      </c>
      <c r="G142" s="4" t="s">
        <v>641</v>
      </c>
      <c r="H142" s="5">
        <v>42669</v>
      </c>
      <c r="I142" s="24">
        <v>0.5625</v>
      </c>
      <c r="J142" s="25">
        <v>0.58333333333333337</v>
      </c>
      <c r="K142" s="4">
        <v>30</v>
      </c>
      <c r="L142" s="6" t="s">
        <v>179</v>
      </c>
      <c r="M142" s="4" t="s">
        <v>50</v>
      </c>
      <c r="N142" s="4">
        <v>1809769109</v>
      </c>
      <c r="O142" s="4" t="s">
        <v>44</v>
      </c>
      <c r="P142" s="12">
        <v>42653.419120370374</v>
      </c>
      <c r="Q142" s="4" t="s">
        <v>642</v>
      </c>
      <c r="R142" s="4" t="s">
        <v>655</v>
      </c>
      <c r="S142" s="4"/>
      <c r="T142" s="5">
        <v>42653</v>
      </c>
      <c r="U142" s="4" t="s">
        <v>401</v>
      </c>
      <c r="V142" s="4"/>
      <c r="W142" s="4"/>
      <c r="X142" s="4"/>
      <c r="Y142" s="4"/>
      <c r="Z142" s="4"/>
    </row>
    <row r="143" spans="1:26" x14ac:dyDescent="0.35">
      <c r="A143" s="9"/>
      <c r="B143" s="8" t="s">
        <v>29</v>
      </c>
      <c r="C143" s="4" t="s">
        <v>23</v>
      </c>
      <c r="D143" s="4" t="s">
        <v>656</v>
      </c>
      <c r="E143" s="4" t="s">
        <v>657</v>
      </c>
      <c r="F143" s="4" t="s">
        <v>32</v>
      </c>
      <c r="G143" s="4" t="s">
        <v>658</v>
      </c>
      <c r="H143" s="5">
        <v>42669</v>
      </c>
      <c r="I143" s="24">
        <v>0.5625</v>
      </c>
      <c r="J143" s="25">
        <v>0.57291666666666663</v>
      </c>
      <c r="K143" s="4">
        <v>15</v>
      </c>
      <c r="L143" s="6" t="s">
        <v>138</v>
      </c>
      <c r="M143" s="4" t="s">
        <v>243</v>
      </c>
      <c r="N143" s="4">
        <v>1810002191</v>
      </c>
      <c r="O143" s="4" t="s">
        <v>44</v>
      </c>
      <c r="P143" s="12">
        <v>42660.48201388889</v>
      </c>
      <c r="Q143" s="4"/>
      <c r="R143" s="4" t="s">
        <v>138</v>
      </c>
      <c r="S143" s="4"/>
      <c r="T143" s="5">
        <v>42660</v>
      </c>
      <c r="U143" s="4" t="s">
        <v>659</v>
      </c>
      <c r="V143" s="4"/>
      <c r="W143" s="4"/>
      <c r="X143" s="4"/>
      <c r="Y143" s="4"/>
      <c r="Z143" s="4"/>
    </row>
    <row r="144" spans="1:26" x14ac:dyDescent="0.35">
      <c r="A144" s="9"/>
      <c r="B144" s="8" t="s">
        <v>373</v>
      </c>
      <c r="C144" s="4" t="s">
        <v>23</v>
      </c>
      <c r="D144" s="4" t="s">
        <v>374</v>
      </c>
      <c r="E144" s="4" t="s">
        <v>660</v>
      </c>
      <c r="F144" s="4" t="s">
        <v>32</v>
      </c>
      <c r="G144" s="4" t="s">
        <v>375</v>
      </c>
      <c r="H144" s="5">
        <v>42669</v>
      </c>
      <c r="I144" s="25">
        <v>0.5625</v>
      </c>
      <c r="J144" s="25">
        <v>0.60416666666666663</v>
      </c>
      <c r="K144" s="4">
        <v>60</v>
      </c>
      <c r="L144" s="14" t="s">
        <v>93</v>
      </c>
      <c r="M144" s="4"/>
      <c r="N144" s="4"/>
      <c r="O144" s="4"/>
      <c r="P144" s="12"/>
      <c r="Q144" s="4"/>
      <c r="R144" s="4"/>
      <c r="S144" s="4"/>
      <c r="T144" s="5"/>
      <c r="U144" s="4"/>
      <c r="V144" s="4"/>
      <c r="W144" s="4"/>
      <c r="X144" s="4"/>
      <c r="Y144" s="4"/>
      <c r="Z144" s="4"/>
    </row>
    <row r="145" spans="1:26" hidden="1" x14ac:dyDescent="0.35">
      <c r="A145" s="2"/>
      <c r="B145" s="32" t="s">
        <v>52</v>
      </c>
      <c r="C145" s="4" t="s">
        <v>23</v>
      </c>
      <c r="D145" s="4" t="s">
        <v>573</v>
      </c>
      <c r="E145" s="4" t="s">
        <v>574</v>
      </c>
      <c r="F145" s="4" t="s">
        <v>24</v>
      </c>
      <c r="G145" s="4" t="s">
        <v>575</v>
      </c>
      <c r="H145" s="5">
        <v>42669</v>
      </c>
      <c r="I145" s="24">
        <v>0.5625</v>
      </c>
      <c r="J145" s="25">
        <v>0.72916666666666663</v>
      </c>
      <c r="K145" s="4">
        <v>240</v>
      </c>
      <c r="L145" s="6" t="s">
        <v>661</v>
      </c>
      <c r="M145" s="4"/>
      <c r="N145" s="4"/>
      <c r="O145" s="4"/>
      <c r="P145" s="12"/>
      <c r="Q145" s="4"/>
      <c r="R145" s="4"/>
      <c r="S145" s="4"/>
      <c r="T145" s="5"/>
      <c r="U145" s="4"/>
      <c r="V145" s="4"/>
      <c r="W145" s="4"/>
      <c r="X145" s="4"/>
      <c r="Y145" s="4"/>
      <c r="Z145" s="4"/>
    </row>
    <row r="146" spans="1:26" hidden="1" x14ac:dyDescent="0.35">
      <c r="A146" s="9"/>
      <c r="B146" s="3" t="s">
        <v>22</v>
      </c>
      <c r="C146" s="4" t="s">
        <v>23</v>
      </c>
      <c r="D146" s="4" t="s">
        <v>662</v>
      </c>
      <c r="E146" s="4" t="s">
        <v>663</v>
      </c>
      <c r="F146" s="4" t="s">
        <v>140</v>
      </c>
      <c r="G146" s="4" t="s">
        <v>664</v>
      </c>
      <c r="H146" s="5">
        <v>42669</v>
      </c>
      <c r="I146" s="25">
        <v>0.57291666666666663</v>
      </c>
      <c r="J146" s="25">
        <v>0.58333333333333326</v>
      </c>
      <c r="K146" s="4">
        <v>15</v>
      </c>
      <c r="L146" s="4" t="s">
        <v>25</v>
      </c>
      <c r="M146" s="4" t="s">
        <v>25</v>
      </c>
      <c r="N146" s="4">
        <v>1810270833</v>
      </c>
      <c r="O146" s="4" t="s">
        <v>44</v>
      </c>
      <c r="P146" s="12">
        <v>42668.430474537039</v>
      </c>
      <c r="Q146" s="4" t="s">
        <v>665</v>
      </c>
      <c r="R146" s="4" t="s">
        <v>25</v>
      </c>
      <c r="S146" s="4"/>
      <c r="T146" s="5">
        <v>42668</v>
      </c>
      <c r="U146" s="4" t="s">
        <v>666</v>
      </c>
      <c r="V146" s="4"/>
      <c r="W146" s="4"/>
      <c r="X146" s="4"/>
      <c r="Y146" s="4"/>
      <c r="Z146" s="4"/>
    </row>
    <row r="147" spans="1:26" hidden="1" x14ac:dyDescent="0.35">
      <c r="A147" s="9"/>
      <c r="B147" s="3" t="s">
        <v>22</v>
      </c>
      <c r="C147" s="4" t="s">
        <v>23</v>
      </c>
      <c r="D147" s="4" t="s">
        <v>667</v>
      </c>
      <c r="E147" s="4" t="s">
        <v>668</v>
      </c>
      <c r="F147" s="4" t="s">
        <v>24</v>
      </c>
      <c r="G147" s="4" t="s">
        <v>669</v>
      </c>
      <c r="H147" s="5">
        <v>42669</v>
      </c>
      <c r="I147" s="25">
        <v>0.57291666666666663</v>
      </c>
      <c r="J147" s="25">
        <v>0.58333333333333326</v>
      </c>
      <c r="K147" s="4">
        <v>15</v>
      </c>
      <c r="L147" s="4" t="s">
        <v>25</v>
      </c>
      <c r="M147" s="4" t="s">
        <v>670</v>
      </c>
      <c r="N147" s="4">
        <v>1810124976</v>
      </c>
      <c r="O147" s="4" t="s">
        <v>399</v>
      </c>
      <c r="P147" s="12">
        <v>42663.387476851851</v>
      </c>
      <c r="Q147" s="4"/>
      <c r="R147" s="4" t="s">
        <v>25</v>
      </c>
      <c r="S147" s="4" t="s">
        <v>671</v>
      </c>
      <c r="T147" s="5">
        <v>42663</v>
      </c>
      <c r="U147" s="4" t="s">
        <v>223</v>
      </c>
      <c r="V147" s="4" t="s">
        <v>17</v>
      </c>
      <c r="W147" s="4"/>
      <c r="X147" s="4"/>
      <c r="Y147" s="4"/>
      <c r="Z147" s="4"/>
    </row>
    <row r="148" spans="1:26" x14ac:dyDescent="0.35">
      <c r="A148" s="9"/>
      <c r="B148" s="8" t="s">
        <v>397</v>
      </c>
      <c r="C148" s="4" t="s">
        <v>23</v>
      </c>
      <c r="D148" s="4" t="s">
        <v>328</v>
      </c>
      <c r="E148" s="4" t="s">
        <v>329</v>
      </c>
      <c r="F148" s="4" t="s">
        <v>307</v>
      </c>
      <c r="G148" s="4" t="s">
        <v>330</v>
      </c>
      <c r="H148" s="5">
        <v>42669</v>
      </c>
      <c r="I148" s="25">
        <v>0.58333333333333337</v>
      </c>
      <c r="J148" s="25">
        <v>0.60416666666666674</v>
      </c>
      <c r="K148" s="4">
        <v>30</v>
      </c>
      <c r="L148" s="4" t="s">
        <v>156</v>
      </c>
      <c r="M148" s="4" t="s">
        <v>269</v>
      </c>
      <c r="N148" s="4">
        <v>1809886713</v>
      </c>
      <c r="O148" s="4" t="s">
        <v>399</v>
      </c>
      <c r="P148" s="12">
        <v>42667.432118055556</v>
      </c>
      <c r="Q148" s="4"/>
      <c r="R148" s="4" t="s">
        <v>156</v>
      </c>
      <c r="S148" s="4" t="s">
        <v>38</v>
      </c>
      <c r="T148" s="5">
        <v>42655</v>
      </c>
      <c r="U148" s="4" t="s">
        <v>248</v>
      </c>
      <c r="V148" s="4" t="s">
        <v>17</v>
      </c>
      <c r="W148" s="4"/>
      <c r="X148" s="4"/>
      <c r="Y148" s="4"/>
      <c r="Z148" s="4"/>
    </row>
    <row r="149" spans="1:26" x14ac:dyDescent="0.35">
      <c r="A149" s="9"/>
      <c r="B149" s="8" t="s">
        <v>29</v>
      </c>
      <c r="C149" s="4" t="s">
        <v>23</v>
      </c>
      <c r="D149" s="4" t="s">
        <v>656</v>
      </c>
      <c r="E149" s="4" t="s">
        <v>657</v>
      </c>
      <c r="F149" s="4" t="s">
        <v>32</v>
      </c>
      <c r="G149" s="4" t="s">
        <v>658</v>
      </c>
      <c r="H149" s="5">
        <v>42669</v>
      </c>
      <c r="I149" s="24">
        <v>0.58333333333333337</v>
      </c>
      <c r="J149" s="25">
        <v>0.625</v>
      </c>
      <c r="K149" s="4">
        <v>60</v>
      </c>
      <c r="L149" s="6" t="s">
        <v>156</v>
      </c>
      <c r="M149" s="4" t="s">
        <v>147</v>
      </c>
      <c r="N149" s="4">
        <v>1810002192</v>
      </c>
      <c r="O149" s="4" t="s">
        <v>44</v>
      </c>
      <c r="P149" s="12">
        <v>42660.48201388889</v>
      </c>
      <c r="Q149" s="4"/>
      <c r="R149" s="4" t="s">
        <v>157</v>
      </c>
      <c r="S149" s="4"/>
      <c r="T149" s="5">
        <v>42660</v>
      </c>
      <c r="U149" s="4" t="s">
        <v>659</v>
      </c>
      <c r="V149" s="4"/>
      <c r="W149" s="4"/>
      <c r="X149" s="4"/>
      <c r="Y149" s="4"/>
      <c r="Z149" s="4"/>
    </row>
    <row r="150" spans="1:26" x14ac:dyDescent="0.35">
      <c r="A150" s="16" t="s">
        <v>324</v>
      </c>
      <c r="B150" s="8" t="s">
        <v>184</v>
      </c>
      <c r="C150" s="4" t="s">
        <v>23</v>
      </c>
      <c r="D150" s="4" t="s">
        <v>325</v>
      </c>
      <c r="E150" s="4" t="s">
        <v>326</v>
      </c>
      <c r="F150" s="4" t="s">
        <v>32</v>
      </c>
      <c r="G150" s="4" t="s">
        <v>327</v>
      </c>
      <c r="H150" s="5">
        <v>42669</v>
      </c>
      <c r="I150" s="24">
        <v>0.58333333333333337</v>
      </c>
      <c r="J150" s="25">
        <v>0.60416666666666674</v>
      </c>
      <c r="K150" s="4">
        <v>30</v>
      </c>
      <c r="L150" s="6" t="s">
        <v>179</v>
      </c>
      <c r="M150" s="4" t="s">
        <v>50</v>
      </c>
      <c r="N150" s="4">
        <v>1809922768</v>
      </c>
      <c r="O150" s="4" t="s">
        <v>44</v>
      </c>
      <c r="P150" s="12">
        <v>42656.577106481483</v>
      </c>
      <c r="Q150" s="4" t="s">
        <v>672</v>
      </c>
      <c r="R150" s="4" t="s">
        <v>180</v>
      </c>
      <c r="S150" s="4"/>
      <c r="T150" s="5">
        <v>42656</v>
      </c>
      <c r="U150" s="4" t="s">
        <v>288</v>
      </c>
      <c r="V150" s="4"/>
      <c r="W150" s="4"/>
      <c r="X150" s="4"/>
      <c r="Y150" s="4"/>
      <c r="Z150" s="4"/>
    </row>
    <row r="151" spans="1:26" x14ac:dyDescent="0.35">
      <c r="A151" s="18"/>
      <c r="B151" s="8" t="s">
        <v>57</v>
      </c>
      <c r="C151" s="4" t="s">
        <v>23</v>
      </c>
      <c r="D151" s="9" t="s">
        <v>264</v>
      </c>
      <c r="E151" s="9" t="s">
        <v>265</v>
      </c>
      <c r="F151" s="9" t="s">
        <v>266</v>
      </c>
      <c r="G151" s="9" t="s">
        <v>267</v>
      </c>
      <c r="H151" s="19">
        <v>42669</v>
      </c>
      <c r="I151" s="27">
        <v>0.58333333333333337</v>
      </c>
      <c r="J151" s="27">
        <v>0.625</v>
      </c>
      <c r="K151" s="9">
        <v>60</v>
      </c>
      <c r="L151" s="9" t="s">
        <v>107</v>
      </c>
      <c r="M151" s="9" t="s">
        <v>221</v>
      </c>
      <c r="N151" s="9">
        <v>1809772795</v>
      </c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x14ac:dyDescent="0.35">
      <c r="A152" s="9"/>
      <c r="B152" s="30" t="s">
        <v>154</v>
      </c>
      <c r="C152" s="4" t="s">
        <v>23</v>
      </c>
      <c r="D152" s="4" t="s">
        <v>64</v>
      </c>
      <c r="E152" s="4" t="s">
        <v>65</v>
      </c>
      <c r="F152" s="4" t="s">
        <v>24</v>
      </c>
      <c r="G152" s="4" t="s">
        <v>66</v>
      </c>
      <c r="H152" s="5">
        <v>42669</v>
      </c>
      <c r="I152" s="25">
        <v>0.58333333333333337</v>
      </c>
      <c r="J152" s="25">
        <v>0.61458333333333337</v>
      </c>
      <c r="K152" s="4">
        <v>45</v>
      </c>
      <c r="L152" s="4" t="s">
        <v>141</v>
      </c>
      <c r="M152" s="4" t="s">
        <v>142</v>
      </c>
      <c r="N152" s="4">
        <v>1809547659</v>
      </c>
      <c r="O152" s="4" t="s">
        <v>399</v>
      </c>
      <c r="P152" s="12">
        <v>42668.724560185183</v>
      </c>
      <c r="Q152" s="4" t="s">
        <v>68</v>
      </c>
      <c r="R152" s="4" t="s">
        <v>402</v>
      </c>
      <c r="S152" s="4" t="s">
        <v>673</v>
      </c>
      <c r="T152" s="5">
        <v>42646</v>
      </c>
      <c r="U152" s="4" t="s">
        <v>97</v>
      </c>
      <c r="V152" s="4" t="s">
        <v>17</v>
      </c>
      <c r="W152" s="4"/>
      <c r="X152" s="4"/>
      <c r="Y152" s="4"/>
      <c r="Z152" s="4"/>
    </row>
    <row r="153" spans="1:26" x14ac:dyDescent="0.35">
      <c r="A153" s="9"/>
      <c r="B153" s="30" t="s">
        <v>674</v>
      </c>
      <c r="C153" s="4" t="s">
        <v>23</v>
      </c>
      <c r="D153" s="4" t="s">
        <v>242</v>
      </c>
      <c r="E153" s="4" t="s">
        <v>384</v>
      </c>
      <c r="F153" s="4" t="s">
        <v>162</v>
      </c>
      <c r="G153" s="4" t="s">
        <v>385</v>
      </c>
      <c r="H153" s="5">
        <v>42669</v>
      </c>
      <c r="I153" s="25">
        <v>0.58333333333333337</v>
      </c>
      <c r="J153" s="25">
        <v>0.60416666666666674</v>
      </c>
      <c r="K153" s="4">
        <v>30</v>
      </c>
      <c r="L153" s="4" t="s">
        <v>156</v>
      </c>
      <c r="M153" s="4" t="s">
        <v>50</v>
      </c>
      <c r="N153" s="4">
        <v>1810237276</v>
      </c>
      <c r="O153" s="4" t="s">
        <v>44</v>
      </c>
      <c r="P153" s="12">
        <v>42667.532418981478</v>
      </c>
      <c r="Q153" s="4" t="s">
        <v>386</v>
      </c>
      <c r="R153" s="4" t="s">
        <v>157</v>
      </c>
      <c r="S153" s="4"/>
      <c r="T153" s="5">
        <v>42667</v>
      </c>
      <c r="U153" s="4" t="s">
        <v>382</v>
      </c>
      <c r="V153" s="4"/>
      <c r="W153" s="4"/>
      <c r="X153" s="4"/>
      <c r="Y153" s="4"/>
      <c r="Z153" s="4"/>
    </row>
    <row r="154" spans="1:26" x14ac:dyDescent="0.35">
      <c r="A154" s="2"/>
      <c r="B154" s="8" t="s">
        <v>235</v>
      </c>
      <c r="C154" s="4" t="s">
        <v>23</v>
      </c>
      <c r="D154" s="4" t="s">
        <v>633</v>
      </c>
      <c r="E154" s="4" t="s">
        <v>634</v>
      </c>
      <c r="F154" s="4" t="s">
        <v>24</v>
      </c>
      <c r="G154" s="4" t="s">
        <v>635</v>
      </c>
      <c r="H154" s="5">
        <v>42669</v>
      </c>
      <c r="I154" s="24">
        <v>0.59375</v>
      </c>
      <c r="J154" s="25">
        <v>0.60416666666666663</v>
      </c>
      <c r="K154" s="4">
        <v>15</v>
      </c>
      <c r="L154" s="6" t="s">
        <v>26</v>
      </c>
      <c r="M154" s="4" t="s">
        <v>372</v>
      </c>
      <c r="N154" s="4">
        <v>1804861812</v>
      </c>
      <c r="O154" s="4" t="s">
        <v>96</v>
      </c>
      <c r="P154" s="12">
        <v>42495.655902777777</v>
      </c>
      <c r="Q154" s="4" t="s">
        <v>636</v>
      </c>
      <c r="R154" s="4" t="s">
        <v>27</v>
      </c>
      <c r="S154" s="4"/>
      <c r="T154" s="5">
        <v>42495</v>
      </c>
      <c r="U154" s="4" t="s">
        <v>637</v>
      </c>
      <c r="V154" s="4"/>
      <c r="W154" s="4"/>
      <c r="X154" s="4"/>
      <c r="Y154" s="4"/>
      <c r="Z154" s="4"/>
    </row>
    <row r="155" spans="1:26" hidden="1" x14ac:dyDescent="0.35">
      <c r="A155" s="3" t="s">
        <v>28</v>
      </c>
      <c r="B155" s="32" t="s">
        <v>675</v>
      </c>
      <c r="C155" s="4" t="s">
        <v>23</v>
      </c>
      <c r="D155" s="4" t="s">
        <v>676</v>
      </c>
      <c r="E155" s="4" t="s">
        <v>677</v>
      </c>
      <c r="F155" s="4" t="s">
        <v>678</v>
      </c>
      <c r="G155" s="4" t="s">
        <v>679</v>
      </c>
      <c r="H155" s="5">
        <v>42669</v>
      </c>
      <c r="I155" s="25">
        <v>0.60069444444444442</v>
      </c>
      <c r="J155" s="25">
        <v>0.63888888888888884</v>
      </c>
      <c r="K155" s="4">
        <v>55</v>
      </c>
      <c r="L155" s="4" t="s">
        <v>181</v>
      </c>
      <c r="M155" s="4" t="s">
        <v>182</v>
      </c>
      <c r="N155" s="4">
        <v>1810145251</v>
      </c>
      <c r="O155" s="4" t="s">
        <v>96</v>
      </c>
      <c r="P155" s="12">
        <v>42663.592638888891</v>
      </c>
      <c r="Q155" s="4" t="s">
        <v>680</v>
      </c>
      <c r="R155" s="4" t="s">
        <v>181</v>
      </c>
      <c r="S155" s="4"/>
      <c r="T155" s="5">
        <v>42663</v>
      </c>
      <c r="U155" s="4" t="s">
        <v>237</v>
      </c>
      <c r="V155" s="4"/>
      <c r="W155" s="4"/>
      <c r="X155" s="4"/>
      <c r="Y155" s="4"/>
      <c r="Z155" s="4"/>
    </row>
    <row r="156" spans="1:26" x14ac:dyDescent="0.35">
      <c r="A156" s="9"/>
      <c r="B156" s="8" t="s">
        <v>373</v>
      </c>
      <c r="C156" s="4" t="s">
        <v>23</v>
      </c>
      <c r="D156" s="4" t="s">
        <v>374</v>
      </c>
      <c r="E156" s="4" t="s">
        <v>660</v>
      </c>
      <c r="F156" s="4" t="s">
        <v>32</v>
      </c>
      <c r="G156" s="4" t="s">
        <v>375</v>
      </c>
      <c r="H156" s="5">
        <v>42669</v>
      </c>
      <c r="I156" s="25">
        <v>0.60416666666666663</v>
      </c>
      <c r="J156" s="25">
        <v>0.70833333333333326</v>
      </c>
      <c r="K156" s="4">
        <v>150</v>
      </c>
      <c r="L156" s="14" t="s">
        <v>93</v>
      </c>
      <c r="M156" s="4" t="s">
        <v>303</v>
      </c>
      <c r="N156" s="4">
        <v>1809933201</v>
      </c>
      <c r="O156" s="4" t="s">
        <v>399</v>
      </c>
      <c r="P156" s="12">
        <v>42661.419583333336</v>
      </c>
      <c r="Q156" s="4"/>
      <c r="R156" s="4" t="s">
        <v>95</v>
      </c>
      <c r="S156" s="4" t="s">
        <v>51</v>
      </c>
      <c r="T156" s="5">
        <v>42656</v>
      </c>
      <c r="U156" s="4" t="s">
        <v>344</v>
      </c>
      <c r="V156" s="4" t="s">
        <v>17</v>
      </c>
      <c r="W156" s="4"/>
      <c r="X156" s="4"/>
      <c r="Y156" s="4"/>
      <c r="Z156" s="4"/>
    </row>
    <row r="157" spans="1:26" x14ac:dyDescent="0.35">
      <c r="A157" s="9"/>
      <c r="B157" s="8" t="s">
        <v>235</v>
      </c>
      <c r="C157" s="4" t="s">
        <v>23</v>
      </c>
      <c r="D157" s="4" t="s">
        <v>667</v>
      </c>
      <c r="E157" s="4" t="s">
        <v>668</v>
      </c>
      <c r="F157" s="4" t="s">
        <v>24</v>
      </c>
      <c r="G157" s="4" t="s">
        <v>669</v>
      </c>
      <c r="H157" s="5">
        <v>42669</v>
      </c>
      <c r="I157" s="25">
        <v>0.60416666666666663</v>
      </c>
      <c r="J157" s="25">
        <v>0.625</v>
      </c>
      <c r="K157" s="4">
        <v>30</v>
      </c>
      <c r="L157" s="4" t="s">
        <v>291</v>
      </c>
      <c r="M157" s="4" t="s">
        <v>681</v>
      </c>
      <c r="N157" s="4">
        <v>1810124977</v>
      </c>
      <c r="O157" s="4" t="s">
        <v>44</v>
      </c>
      <c r="P157" s="12">
        <v>42663.387303240743</v>
      </c>
      <c r="Q157" s="4"/>
      <c r="R157" s="4" t="s">
        <v>682</v>
      </c>
      <c r="S157" s="4"/>
      <c r="T157" s="5">
        <v>42663</v>
      </c>
      <c r="U157" s="4" t="s">
        <v>223</v>
      </c>
      <c r="V157" s="4"/>
      <c r="W157" s="4"/>
      <c r="X157" s="4"/>
      <c r="Y157" s="4"/>
      <c r="Z157" s="4"/>
    </row>
    <row r="158" spans="1:26" hidden="1" x14ac:dyDescent="0.35">
      <c r="A158" s="7"/>
      <c r="B158" s="3" t="s">
        <v>22</v>
      </c>
      <c r="C158" s="4" t="s">
        <v>23</v>
      </c>
      <c r="D158" s="4" t="s">
        <v>683</v>
      </c>
      <c r="E158" s="4" t="s">
        <v>684</v>
      </c>
      <c r="F158" s="4" t="s">
        <v>114</v>
      </c>
      <c r="G158" s="4" t="s">
        <v>685</v>
      </c>
      <c r="H158" s="5">
        <v>42669</v>
      </c>
      <c r="I158" s="25">
        <v>0.61111111111111105</v>
      </c>
      <c r="J158" s="25">
        <v>0.625</v>
      </c>
      <c r="K158" s="4">
        <v>20</v>
      </c>
      <c r="L158" s="4" t="s">
        <v>42</v>
      </c>
      <c r="M158" s="4"/>
      <c r="N158" s="4"/>
      <c r="O158" s="4"/>
      <c r="P158" s="12"/>
      <c r="Q158" s="4"/>
      <c r="R158" s="4"/>
      <c r="S158" s="4"/>
      <c r="T158" s="5"/>
      <c r="U158" s="4"/>
      <c r="V158" s="4"/>
      <c r="W158" s="4"/>
      <c r="X158" s="4"/>
      <c r="Y158" s="4"/>
      <c r="Z158" s="4"/>
    </row>
    <row r="159" spans="1:26" hidden="1" x14ac:dyDescent="0.35">
      <c r="A159" s="2"/>
      <c r="B159" s="3" t="s">
        <v>22</v>
      </c>
      <c r="C159" s="4" t="s">
        <v>23</v>
      </c>
      <c r="D159" s="4" t="s">
        <v>686</v>
      </c>
      <c r="E159" s="4" t="s">
        <v>687</v>
      </c>
      <c r="F159" s="4" t="s">
        <v>41</v>
      </c>
      <c r="G159" s="4" t="s">
        <v>688</v>
      </c>
      <c r="H159" s="5">
        <v>42669</v>
      </c>
      <c r="I159" s="24">
        <v>0.625</v>
      </c>
      <c r="J159" s="25">
        <v>0.63541666666666663</v>
      </c>
      <c r="K159" s="4">
        <v>15</v>
      </c>
      <c r="L159" s="6" t="s">
        <v>25</v>
      </c>
      <c r="M159" s="4" t="s">
        <v>25</v>
      </c>
      <c r="N159" s="4">
        <v>1809369999</v>
      </c>
      <c r="O159" s="4" t="s">
        <v>44</v>
      </c>
      <c r="P159" s="12">
        <v>42640.451585648145</v>
      </c>
      <c r="Q159" s="4" t="s">
        <v>689</v>
      </c>
      <c r="R159" s="4" t="s">
        <v>25</v>
      </c>
      <c r="S159" s="4"/>
      <c r="T159" s="5">
        <v>42640</v>
      </c>
      <c r="U159" s="4" t="s">
        <v>45</v>
      </c>
      <c r="V159" s="4"/>
      <c r="W159" s="4"/>
      <c r="X159" s="4"/>
      <c r="Y159" s="4"/>
      <c r="Z159" s="4"/>
    </row>
    <row r="160" spans="1:26" x14ac:dyDescent="0.35">
      <c r="A160" s="9"/>
      <c r="B160" s="33" t="s">
        <v>216</v>
      </c>
      <c r="C160" s="4" t="s">
        <v>23</v>
      </c>
      <c r="D160" s="4" t="s">
        <v>662</v>
      </c>
      <c r="E160" s="4" t="s">
        <v>663</v>
      </c>
      <c r="F160" s="4" t="s">
        <v>140</v>
      </c>
      <c r="G160" s="4" t="s">
        <v>664</v>
      </c>
      <c r="H160" s="5">
        <v>42669</v>
      </c>
      <c r="I160" s="25">
        <v>0.625</v>
      </c>
      <c r="J160" s="25">
        <v>0.63541666666666663</v>
      </c>
      <c r="K160" s="4">
        <v>15</v>
      </c>
      <c r="L160" s="4" t="s">
        <v>26</v>
      </c>
      <c r="M160" s="4" t="s">
        <v>169</v>
      </c>
      <c r="N160" s="4">
        <v>1810270876</v>
      </c>
      <c r="O160" s="4" t="s">
        <v>44</v>
      </c>
      <c r="P160" s="12">
        <v>42668.430868055555</v>
      </c>
      <c r="Q160" s="4" t="s">
        <v>665</v>
      </c>
      <c r="R160" s="4" t="s">
        <v>27</v>
      </c>
      <c r="S160" s="4"/>
      <c r="T160" s="5">
        <v>42668</v>
      </c>
      <c r="U160" s="4" t="s">
        <v>666</v>
      </c>
      <c r="V160" s="4"/>
      <c r="W160" s="4"/>
      <c r="X160" s="4"/>
      <c r="Y160" s="4"/>
      <c r="Z160" s="4"/>
    </row>
    <row r="161" spans="1:26" x14ac:dyDescent="0.35">
      <c r="A161" s="9"/>
      <c r="B161" s="8" t="s">
        <v>57</v>
      </c>
      <c r="C161" s="4" t="s">
        <v>23</v>
      </c>
      <c r="D161" s="9" t="s">
        <v>264</v>
      </c>
      <c r="E161" s="9" t="s">
        <v>265</v>
      </c>
      <c r="F161" s="9" t="s">
        <v>266</v>
      </c>
      <c r="G161" s="9" t="s">
        <v>267</v>
      </c>
      <c r="H161" s="19">
        <v>42669</v>
      </c>
      <c r="I161" s="25">
        <v>0.625</v>
      </c>
      <c r="J161" s="25">
        <v>0.66666666666666663</v>
      </c>
      <c r="K161" s="4">
        <v>60</v>
      </c>
      <c r="L161" s="9" t="s">
        <v>107</v>
      </c>
      <c r="M161" s="4"/>
      <c r="N161" s="4"/>
      <c r="O161" s="4"/>
      <c r="P161" s="12"/>
      <c r="Q161" s="4"/>
      <c r="R161" s="4"/>
      <c r="S161" s="4"/>
      <c r="T161" s="5"/>
      <c r="U161" s="4"/>
      <c r="V161" s="4"/>
      <c r="W161" s="4"/>
      <c r="X161" s="4"/>
      <c r="Y161" s="4"/>
      <c r="Z161" s="4"/>
    </row>
    <row r="162" spans="1:26" x14ac:dyDescent="0.35">
      <c r="A162" s="2"/>
      <c r="B162" s="8" t="s">
        <v>400</v>
      </c>
      <c r="C162" s="4" t="s">
        <v>23</v>
      </c>
      <c r="D162" s="4" t="s">
        <v>690</v>
      </c>
      <c r="E162" s="4" t="s">
        <v>691</v>
      </c>
      <c r="F162" s="4" t="s">
        <v>349</v>
      </c>
      <c r="G162" s="4" t="s">
        <v>692</v>
      </c>
      <c r="H162" s="5">
        <v>42669</v>
      </c>
      <c r="I162" s="24">
        <v>0.625</v>
      </c>
      <c r="J162" s="25">
        <v>0.66666666666666663</v>
      </c>
      <c r="K162" s="4">
        <v>60</v>
      </c>
      <c r="L162" s="6" t="s">
        <v>693</v>
      </c>
      <c r="M162" s="4"/>
      <c r="N162" s="4"/>
      <c r="O162" s="4"/>
      <c r="P162" s="12"/>
      <c r="Q162" s="4"/>
      <c r="R162" s="4"/>
      <c r="S162" s="4"/>
      <c r="T162" s="5"/>
      <c r="U162" s="4"/>
      <c r="V162" s="4"/>
      <c r="W162" s="4"/>
      <c r="X162" s="4"/>
      <c r="Y162" s="4"/>
      <c r="Z162" s="4"/>
    </row>
    <row r="163" spans="1:26" x14ac:dyDescent="0.35">
      <c r="A163" s="9"/>
      <c r="B163" s="30" t="s">
        <v>674</v>
      </c>
      <c r="C163" s="4" t="s">
        <v>23</v>
      </c>
      <c r="D163" s="4" t="s">
        <v>242</v>
      </c>
      <c r="E163" s="4" t="s">
        <v>384</v>
      </c>
      <c r="F163" s="4" t="s">
        <v>162</v>
      </c>
      <c r="G163" s="4" t="s">
        <v>385</v>
      </c>
      <c r="H163" s="5">
        <v>42669</v>
      </c>
      <c r="I163" s="25">
        <v>0.625</v>
      </c>
      <c r="J163" s="25">
        <v>0.66666666666666663</v>
      </c>
      <c r="K163" s="4">
        <v>60</v>
      </c>
      <c r="L163" s="4" t="s">
        <v>26</v>
      </c>
      <c r="M163" s="4" t="s">
        <v>596</v>
      </c>
      <c r="N163" s="4">
        <v>1810237492</v>
      </c>
      <c r="O163" s="4" t="s">
        <v>44</v>
      </c>
      <c r="P163" s="12">
        <v>42667.534803240742</v>
      </c>
      <c r="Q163" s="4" t="s">
        <v>386</v>
      </c>
      <c r="R163" s="4" t="s">
        <v>27</v>
      </c>
      <c r="S163" s="4"/>
      <c r="T163" s="5">
        <v>42667</v>
      </c>
      <c r="U163" s="4" t="s">
        <v>382</v>
      </c>
      <c r="V163" s="4"/>
      <c r="W163" s="4"/>
      <c r="X163" s="4"/>
      <c r="Y163" s="4"/>
      <c r="Z163" s="4"/>
    </row>
    <row r="164" spans="1:26" x14ac:dyDescent="0.35">
      <c r="A164" s="9"/>
      <c r="B164" s="30" t="s">
        <v>674</v>
      </c>
      <c r="C164" s="4" t="s">
        <v>23</v>
      </c>
      <c r="D164" s="4" t="s">
        <v>242</v>
      </c>
      <c r="E164" s="4" t="s">
        <v>384</v>
      </c>
      <c r="F164" s="4" t="s">
        <v>162</v>
      </c>
      <c r="G164" s="4" t="s">
        <v>385</v>
      </c>
      <c r="H164" s="5">
        <v>42669</v>
      </c>
      <c r="I164" s="25">
        <v>0.625</v>
      </c>
      <c r="J164" s="25">
        <v>0.64583333333333337</v>
      </c>
      <c r="K164" s="4">
        <v>30</v>
      </c>
      <c r="L164" s="4" t="s">
        <v>53</v>
      </c>
      <c r="M164" s="4" t="s">
        <v>694</v>
      </c>
      <c r="N164" s="4">
        <v>1810237775</v>
      </c>
      <c r="O164" s="4" t="s">
        <v>44</v>
      </c>
      <c r="P164" s="12">
        <v>42667.53769675926</v>
      </c>
      <c r="Q164" s="4" t="s">
        <v>386</v>
      </c>
      <c r="R164" s="4" t="s">
        <v>53</v>
      </c>
      <c r="S164" s="4"/>
      <c r="T164" s="5">
        <v>42667</v>
      </c>
      <c r="U164" s="4" t="s">
        <v>382</v>
      </c>
      <c r="V164" s="4"/>
      <c r="W164" s="4"/>
      <c r="X164" s="4"/>
      <c r="Y164" s="4"/>
      <c r="Z164" s="4"/>
    </row>
    <row r="165" spans="1:26" x14ac:dyDescent="0.35">
      <c r="A165" s="2"/>
      <c r="B165" s="8" t="s">
        <v>161</v>
      </c>
      <c r="C165" s="4" t="s">
        <v>23</v>
      </c>
      <c r="D165" s="4" t="s">
        <v>351</v>
      </c>
      <c r="E165" s="4" t="s">
        <v>352</v>
      </c>
      <c r="F165" s="4" t="s">
        <v>162</v>
      </c>
      <c r="G165" s="4" t="s">
        <v>353</v>
      </c>
      <c r="H165" s="5">
        <v>42669</v>
      </c>
      <c r="I165" s="24">
        <v>0.63194444444444442</v>
      </c>
      <c r="J165" s="25">
        <v>0.73611111111111116</v>
      </c>
      <c r="K165" s="4">
        <v>150</v>
      </c>
      <c r="L165" s="6" t="s">
        <v>115</v>
      </c>
      <c r="M165" s="4" t="s">
        <v>116</v>
      </c>
      <c r="N165" s="4">
        <v>1809944710</v>
      </c>
      <c r="O165" s="4" t="s">
        <v>44</v>
      </c>
      <c r="P165" s="12">
        <v>42657.402442129627</v>
      </c>
      <c r="Q165" s="4"/>
      <c r="R165" s="4" t="s">
        <v>115</v>
      </c>
      <c r="S165" s="4"/>
      <c r="T165" s="5">
        <v>42657</v>
      </c>
      <c r="U165" s="4" t="s">
        <v>354</v>
      </c>
      <c r="V165" s="4"/>
      <c r="W165" s="4"/>
      <c r="X165" s="4"/>
      <c r="Y165" s="4"/>
      <c r="Z165" s="4"/>
    </row>
    <row r="166" spans="1:26" x14ac:dyDescent="0.35">
      <c r="A166" s="17"/>
      <c r="B166" s="8" t="s">
        <v>244</v>
      </c>
      <c r="C166" s="4" t="s">
        <v>23</v>
      </c>
      <c r="D166" s="4" t="s">
        <v>218</v>
      </c>
      <c r="E166" s="4" t="s">
        <v>219</v>
      </c>
      <c r="F166" s="4" t="s">
        <v>114</v>
      </c>
      <c r="G166" s="4" t="s">
        <v>220</v>
      </c>
      <c r="H166" s="5">
        <v>42669</v>
      </c>
      <c r="I166" s="24">
        <v>0.63541666666666663</v>
      </c>
      <c r="J166" s="25">
        <v>0.65625</v>
      </c>
      <c r="K166" s="4">
        <v>45</v>
      </c>
      <c r="L166" s="6" t="s">
        <v>695</v>
      </c>
      <c r="M166" s="4"/>
      <c r="N166" s="4"/>
      <c r="O166" s="4"/>
      <c r="P166" s="12"/>
      <c r="Q166" s="4"/>
      <c r="R166" s="4"/>
      <c r="S166" s="4"/>
      <c r="T166" s="5"/>
      <c r="U166" s="4"/>
      <c r="V166" s="4"/>
      <c r="W166" s="4"/>
      <c r="X166" s="4"/>
      <c r="Y166" s="4"/>
      <c r="Z166" s="4"/>
    </row>
    <row r="167" spans="1:26" x14ac:dyDescent="0.35">
      <c r="A167" s="8" t="s">
        <v>28</v>
      </c>
      <c r="B167" s="8" t="s">
        <v>235</v>
      </c>
      <c r="C167" s="4" t="s">
        <v>23</v>
      </c>
      <c r="D167" s="4" t="s">
        <v>696</v>
      </c>
      <c r="E167" s="4" t="s">
        <v>697</v>
      </c>
      <c r="F167" s="4" t="s">
        <v>24</v>
      </c>
      <c r="G167" s="4" t="s">
        <v>698</v>
      </c>
      <c r="H167" s="5">
        <v>42669</v>
      </c>
      <c r="I167" s="24">
        <v>0.64236111111111105</v>
      </c>
      <c r="J167" s="25">
        <v>0.66666666666666663</v>
      </c>
      <c r="K167" s="4">
        <v>35</v>
      </c>
      <c r="L167" s="6" t="s">
        <v>181</v>
      </c>
      <c r="M167" s="4" t="s">
        <v>239</v>
      </c>
      <c r="N167" s="4">
        <v>1806753707</v>
      </c>
      <c r="O167" s="4" t="s">
        <v>44</v>
      </c>
      <c r="P167" s="12">
        <v>42558.629479166666</v>
      </c>
      <c r="Q167" s="4"/>
      <c r="R167" s="4" t="s">
        <v>181</v>
      </c>
      <c r="S167" s="4"/>
      <c r="T167" s="5">
        <v>42558</v>
      </c>
      <c r="U167" s="4" t="s">
        <v>588</v>
      </c>
      <c r="V167" s="4"/>
      <c r="W167" s="4"/>
      <c r="X167" s="4"/>
      <c r="Y167" s="4"/>
      <c r="Z167" s="4"/>
    </row>
    <row r="168" spans="1:26" hidden="1" x14ac:dyDescent="0.35">
      <c r="A168" s="7"/>
      <c r="B168" s="3" t="s">
        <v>22</v>
      </c>
      <c r="C168" s="4" t="s">
        <v>23</v>
      </c>
      <c r="D168" s="4" t="s">
        <v>294</v>
      </c>
      <c r="E168" s="4" t="s">
        <v>699</v>
      </c>
      <c r="F168" s="4" t="s">
        <v>114</v>
      </c>
      <c r="G168" s="4" t="s">
        <v>700</v>
      </c>
      <c r="H168" s="5">
        <v>42669</v>
      </c>
      <c r="I168" s="24">
        <v>0.64583333333333337</v>
      </c>
      <c r="J168" s="25">
        <v>0.65625</v>
      </c>
      <c r="K168" s="4">
        <v>15</v>
      </c>
      <c r="L168" s="6" t="s">
        <v>25</v>
      </c>
      <c r="M168" s="4"/>
      <c r="N168" s="4"/>
      <c r="O168" s="4"/>
      <c r="P168" s="12"/>
      <c r="Q168" s="4"/>
      <c r="R168" s="4"/>
      <c r="S168" s="4"/>
      <c r="T168" s="5"/>
      <c r="U168" s="4"/>
      <c r="V168" s="4"/>
      <c r="W168" s="4"/>
      <c r="X168" s="4"/>
      <c r="Y168" s="4"/>
      <c r="Z168" s="4"/>
    </row>
    <row r="169" spans="1:26" hidden="1" x14ac:dyDescent="0.35">
      <c r="A169" s="2"/>
      <c r="B169" s="10" t="s">
        <v>103</v>
      </c>
      <c r="C169" s="4" t="s">
        <v>23</v>
      </c>
      <c r="D169" s="4" t="s">
        <v>701</v>
      </c>
      <c r="E169" s="4" t="s">
        <v>702</v>
      </c>
      <c r="F169" s="4" t="s">
        <v>332</v>
      </c>
      <c r="G169" s="4" t="s">
        <v>703</v>
      </c>
      <c r="H169" s="5">
        <v>42669</v>
      </c>
      <c r="I169" s="24">
        <v>0.64583333333333337</v>
      </c>
      <c r="J169" s="25">
        <v>0.65625</v>
      </c>
      <c r="K169" s="4">
        <v>15</v>
      </c>
      <c r="L169" s="14" t="s">
        <v>93</v>
      </c>
      <c r="M169" s="4" t="s">
        <v>704</v>
      </c>
      <c r="N169" s="4">
        <v>1809655033</v>
      </c>
      <c r="O169" s="4" t="s">
        <v>44</v>
      </c>
      <c r="P169" s="12">
        <v>42648.68818287037</v>
      </c>
      <c r="Q169" s="4"/>
      <c r="R169" s="4" t="s">
        <v>93</v>
      </c>
      <c r="S169" s="4"/>
      <c r="T169" s="5">
        <v>42648</v>
      </c>
      <c r="U169" s="4" t="s">
        <v>62</v>
      </c>
      <c r="V169" s="4"/>
      <c r="W169" s="4"/>
      <c r="X169" s="4"/>
      <c r="Y169" s="4"/>
      <c r="Z169" s="4"/>
    </row>
    <row r="170" spans="1:26" hidden="1" x14ac:dyDescent="0.35">
      <c r="A170" s="2"/>
      <c r="B170" s="10" t="s">
        <v>103</v>
      </c>
      <c r="C170" s="4" t="s">
        <v>23</v>
      </c>
      <c r="D170" s="4" t="s">
        <v>701</v>
      </c>
      <c r="E170" s="4" t="s">
        <v>702</v>
      </c>
      <c r="F170" s="4" t="s">
        <v>332</v>
      </c>
      <c r="G170" s="4" t="s">
        <v>703</v>
      </c>
      <c r="H170" s="5">
        <v>42669</v>
      </c>
      <c r="I170" s="24">
        <v>0.65625</v>
      </c>
      <c r="J170" s="25">
        <v>0.66666666666666663</v>
      </c>
      <c r="K170" s="4">
        <v>15</v>
      </c>
      <c r="L170" s="14" t="s">
        <v>93</v>
      </c>
      <c r="M170" s="4" t="s">
        <v>276</v>
      </c>
      <c r="N170" s="4">
        <v>1809655034</v>
      </c>
      <c r="O170" s="4" t="s">
        <v>44</v>
      </c>
      <c r="P170" s="12">
        <v>42648.68818287037</v>
      </c>
      <c r="Q170" s="4"/>
      <c r="R170" s="4" t="s">
        <v>93</v>
      </c>
      <c r="S170" s="4"/>
      <c r="T170" s="5">
        <v>42648</v>
      </c>
      <c r="U170" s="4" t="s">
        <v>62</v>
      </c>
      <c r="V170" s="4"/>
      <c r="W170" s="4"/>
      <c r="X170" s="4"/>
      <c r="Y170" s="4"/>
      <c r="Z170" s="4"/>
    </row>
    <row r="171" spans="1:26" x14ac:dyDescent="0.35">
      <c r="A171" s="2"/>
      <c r="B171" s="8" t="s">
        <v>112</v>
      </c>
      <c r="C171" s="4" t="s">
        <v>23</v>
      </c>
      <c r="D171" s="4" t="s">
        <v>686</v>
      </c>
      <c r="E171" s="4" t="s">
        <v>687</v>
      </c>
      <c r="F171" s="4" t="s">
        <v>41</v>
      </c>
      <c r="G171" s="4" t="s">
        <v>688</v>
      </c>
      <c r="H171" s="5">
        <v>42669</v>
      </c>
      <c r="I171" s="24">
        <v>0.66666666666666663</v>
      </c>
      <c r="J171" s="25">
        <v>0.6875</v>
      </c>
      <c r="K171" s="4">
        <v>30</v>
      </c>
      <c r="L171" s="6" t="s">
        <v>49</v>
      </c>
      <c r="M171" s="4" t="s">
        <v>50</v>
      </c>
      <c r="N171" s="4">
        <v>1809370000</v>
      </c>
      <c r="O171" s="4" t="s">
        <v>44</v>
      </c>
      <c r="P171" s="12">
        <v>42640.451585648145</v>
      </c>
      <c r="Q171" s="4" t="s">
        <v>689</v>
      </c>
      <c r="R171" s="4" t="s">
        <v>705</v>
      </c>
      <c r="S171" s="4"/>
      <c r="T171" s="5">
        <v>42640</v>
      </c>
      <c r="U171" s="4" t="s">
        <v>45</v>
      </c>
      <c r="V171" s="4"/>
      <c r="W171" s="4"/>
      <c r="X171" s="4"/>
      <c r="Y171" s="4"/>
      <c r="Z171" s="4"/>
    </row>
    <row r="172" spans="1:26" x14ac:dyDescent="0.35">
      <c r="A172" s="9"/>
      <c r="B172" s="33" t="s">
        <v>216</v>
      </c>
      <c r="C172" s="4" t="s">
        <v>23</v>
      </c>
      <c r="D172" s="4" t="s">
        <v>662</v>
      </c>
      <c r="E172" s="4" t="s">
        <v>663</v>
      </c>
      <c r="F172" s="4" t="s">
        <v>140</v>
      </c>
      <c r="G172" s="4" t="s">
        <v>664</v>
      </c>
      <c r="H172" s="5">
        <v>42669</v>
      </c>
      <c r="I172" s="25">
        <v>0.66666666666666663</v>
      </c>
      <c r="J172" s="25">
        <v>0.77083333333333326</v>
      </c>
      <c r="K172" s="4">
        <v>150</v>
      </c>
      <c r="L172" s="4" t="s">
        <v>26</v>
      </c>
      <c r="M172" s="4" t="s">
        <v>464</v>
      </c>
      <c r="N172" s="4">
        <v>1810299321</v>
      </c>
      <c r="O172" s="4" t="s">
        <v>44</v>
      </c>
      <c r="P172" s="12">
        <v>42668.708368055559</v>
      </c>
      <c r="Q172" s="4" t="s">
        <v>665</v>
      </c>
      <c r="R172" s="4" t="s">
        <v>27</v>
      </c>
      <c r="S172" s="4"/>
      <c r="T172" s="5">
        <v>42668</v>
      </c>
      <c r="U172" s="4" t="s">
        <v>666</v>
      </c>
      <c r="V172" s="4"/>
      <c r="W172" s="4"/>
      <c r="X172" s="4"/>
      <c r="Y172" s="4"/>
      <c r="Z172" s="4"/>
    </row>
    <row r="173" spans="1:26" x14ac:dyDescent="0.35">
      <c r="A173" s="2"/>
      <c r="B173" s="8" t="s">
        <v>706</v>
      </c>
      <c r="C173" s="4" t="s">
        <v>23</v>
      </c>
      <c r="D173" s="4" t="s">
        <v>203</v>
      </c>
      <c r="E173" s="4" t="s">
        <v>204</v>
      </c>
      <c r="F173" s="4" t="s">
        <v>24</v>
      </c>
      <c r="G173" s="4" t="s">
        <v>205</v>
      </c>
      <c r="H173" s="5">
        <v>42669</v>
      </c>
      <c r="I173" s="24">
        <v>0.66666666666666663</v>
      </c>
      <c r="J173" s="25">
        <v>0.6875</v>
      </c>
      <c r="K173" s="4">
        <v>30</v>
      </c>
      <c r="L173" s="6" t="s">
        <v>49</v>
      </c>
      <c r="M173" s="4" t="s">
        <v>50</v>
      </c>
      <c r="N173" s="4">
        <v>1809901852</v>
      </c>
      <c r="O173" s="4" t="s">
        <v>44</v>
      </c>
      <c r="P173" s="12">
        <v>42656.365729166668</v>
      </c>
      <c r="Q173" s="4" t="s">
        <v>206</v>
      </c>
      <c r="R173" s="4" t="s">
        <v>165</v>
      </c>
      <c r="S173" s="4" t="s">
        <v>51</v>
      </c>
      <c r="T173" s="5">
        <v>42656</v>
      </c>
      <c r="U173" s="4" t="s">
        <v>45</v>
      </c>
      <c r="V173" s="4" t="s">
        <v>17</v>
      </c>
      <c r="W173" s="4"/>
      <c r="X173" s="4"/>
      <c r="Y173" s="4"/>
      <c r="Z173" s="4"/>
    </row>
    <row r="174" spans="1:26" x14ac:dyDescent="0.35">
      <c r="A174" s="7" t="s">
        <v>28</v>
      </c>
      <c r="B174" s="8" t="s">
        <v>123</v>
      </c>
      <c r="C174" s="4" t="s">
        <v>23</v>
      </c>
      <c r="D174" s="4" t="s">
        <v>683</v>
      </c>
      <c r="E174" s="4" t="s">
        <v>684</v>
      </c>
      <c r="F174" s="4" t="s">
        <v>114</v>
      </c>
      <c r="G174" s="4" t="s">
        <v>685</v>
      </c>
      <c r="H174" s="5">
        <v>42669</v>
      </c>
      <c r="I174" s="24">
        <v>0.6875</v>
      </c>
      <c r="J174" s="25">
        <v>0.70833333333333337</v>
      </c>
      <c r="K174" s="4">
        <v>60</v>
      </c>
      <c r="L174" s="6" t="s">
        <v>461</v>
      </c>
      <c r="M174" s="4" t="s">
        <v>50</v>
      </c>
      <c r="N174" s="4">
        <v>1809417458</v>
      </c>
      <c r="O174" s="4" t="s">
        <v>44</v>
      </c>
      <c r="P174" s="12">
        <v>42641.49554398148</v>
      </c>
      <c r="Q174" s="4" t="s">
        <v>707</v>
      </c>
      <c r="R174" s="4" t="s">
        <v>462</v>
      </c>
      <c r="S174" s="4"/>
      <c r="T174" s="5">
        <v>42641</v>
      </c>
      <c r="U174" s="4" t="s">
        <v>708</v>
      </c>
      <c r="V174" s="4"/>
      <c r="W174" s="4"/>
      <c r="X174" s="4"/>
      <c r="Y174" s="4"/>
      <c r="Z174" s="4"/>
    </row>
    <row r="175" spans="1:26" x14ac:dyDescent="0.35">
      <c r="A175" s="2"/>
      <c r="B175" s="8" t="s">
        <v>123</v>
      </c>
      <c r="C175" s="4" t="s">
        <v>23</v>
      </c>
      <c r="D175" s="4" t="s">
        <v>218</v>
      </c>
      <c r="E175" s="4" t="s">
        <v>219</v>
      </c>
      <c r="F175" s="4" t="s">
        <v>114</v>
      </c>
      <c r="G175" s="4" t="s">
        <v>220</v>
      </c>
      <c r="H175" s="5">
        <v>42669</v>
      </c>
      <c r="I175" s="24">
        <v>0.70833333333333337</v>
      </c>
      <c r="J175" s="25">
        <v>0.75</v>
      </c>
      <c r="K175" s="4">
        <v>60</v>
      </c>
      <c r="L175" s="6" t="s">
        <v>26</v>
      </c>
      <c r="M175" s="4"/>
      <c r="N175" s="4"/>
      <c r="O175" s="4"/>
      <c r="P175" s="12"/>
      <c r="Q175" s="4"/>
      <c r="R175" s="4"/>
      <c r="S175" s="4"/>
      <c r="T175" s="5"/>
      <c r="U175" s="4"/>
      <c r="V175" s="4"/>
      <c r="W175" s="4"/>
      <c r="X175" s="4"/>
      <c r="Y175" s="4"/>
      <c r="Z175" s="4"/>
    </row>
    <row r="176" spans="1:26" x14ac:dyDescent="0.35">
      <c r="A176" s="7" t="s">
        <v>709</v>
      </c>
      <c r="B176" s="8" t="s">
        <v>244</v>
      </c>
      <c r="C176" s="4" t="s">
        <v>23</v>
      </c>
      <c r="D176" s="4" t="s">
        <v>294</v>
      </c>
      <c r="E176" s="4" t="s">
        <v>699</v>
      </c>
      <c r="F176" s="4" t="s">
        <v>114</v>
      </c>
      <c r="G176" s="4" t="s">
        <v>700</v>
      </c>
      <c r="H176" s="5">
        <v>42669</v>
      </c>
      <c r="I176" s="24">
        <v>0.6875</v>
      </c>
      <c r="J176" s="25">
        <v>0.70833333333333337</v>
      </c>
      <c r="K176" s="4">
        <v>30</v>
      </c>
      <c r="L176" s="6" t="s">
        <v>179</v>
      </c>
      <c r="M176" s="4" t="s">
        <v>50</v>
      </c>
      <c r="N176" s="4">
        <v>1809783160</v>
      </c>
      <c r="O176" s="4" t="s">
        <v>44</v>
      </c>
      <c r="P176" s="12">
        <v>42653.541516203702</v>
      </c>
      <c r="Q176" s="4" t="s">
        <v>710</v>
      </c>
      <c r="R176" s="4" t="s">
        <v>202</v>
      </c>
      <c r="S176" s="4" t="s">
        <v>51</v>
      </c>
      <c r="T176" s="5">
        <v>42653</v>
      </c>
      <c r="U176" s="4" t="s">
        <v>288</v>
      </c>
      <c r="V176" s="4" t="s">
        <v>17</v>
      </c>
      <c r="W176" s="4"/>
      <c r="X176" s="4"/>
      <c r="Y176" s="4"/>
      <c r="Z176" s="4"/>
    </row>
    <row r="177" spans="1:26" x14ac:dyDescent="0.35">
      <c r="A177" s="2"/>
      <c r="B177" s="8" t="s">
        <v>706</v>
      </c>
      <c r="C177" s="4" t="s">
        <v>23</v>
      </c>
      <c r="D177" s="4" t="s">
        <v>203</v>
      </c>
      <c r="E177" s="4" t="s">
        <v>204</v>
      </c>
      <c r="F177" s="4" t="s">
        <v>24</v>
      </c>
      <c r="G177" s="4" t="s">
        <v>205</v>
      </c>
      <c r="H177" s="5">
        <v>42669</v>
      </c>
      <c r="I177" s="24">
        <v>0.6875</v>
      </c>
      <c r="J177" s="25">
        <v>0.70833333333333337</v>
      </c>
      <c r="K177" s="4">
        <v>30</v>
      </c>
      <c r="L177" s="6" t="s">
        <v>53</v>
      </c>
      <c r="M177" s="4" t="s">
        <v>63</v>
      </c>
      <c r="N177" s="4">
        <v>1809903410</v>
      </c>
      <c r="O177" s="4" t="s">
        <v>44</v>
      </c>
      <c r="P177" s="12">
        <v>42656.384050925924</v>
      </c>
      <c r="Q177" s="4" t="s">
        <v>206</v>
      </c>
      <c r="R177" s="4" t="s">
        <v>55</v>
      </c>
      <c r="S177" s="4"/>
      <c r="T177" s="5">
        <v>42656</v>
      </c>
      <c r="U177" s="4" t="s">
        <v>45</v>
      </c>
      <c r="V177" s="4"/>
      <c r="W177" s="4"/>
      <c r="X177" s="4"/>
      <c r="Y177" s="4"/>
      <c r="Z177" s="4"/>
    </row>
    <row r="178" spans="1:26" x14ac:dyDescent="0.35">
      <c r="A178" s="7" t="s">
        <v>122</v>
      </c>
      <c r="B178" s="8" t="s">
        <v>123</v>
      </c>
      <c r="C178" s="4" t="s">
        <v>23</v>
      </c>
      <c r="D178" s="4" t="s">
        <v>683</v>
      </c>
      <c r="E178" s="4" t="s">
        <v>684</v>
      </c>
      <c r="F178" s="4" t="s">
        <v>114</v>
      </c>
      <c r="G178" s="4" t="s">
        <v>685</v>
      </c>
      <c r="H178" s="5">
        <v>42669</v>
      </c>
      <c r="I178" s="24">
        <v>0.77083333333333337</v>
      </c>
      <c r="J178" s="25">
        <v>0.83333333333333337</v>
      </c>
      <c r="K178" s="4">
        <v>90</v>
      </c>
      <c r="L178" s="6" t="s">
        <v>26</v>
      </c>
      <c r="M178" s="4" t="s">
        <v>711</v>
      </c>
      <c r="N178" s="4">
        <v>1809417592</v>
      </c>
      <c r="O178" s="4" t="s">
        <v>44</v>
      </c>
      <c r="P178" s="12">
        <v>42641.496886574074</v>
      </c>
      <c r="Q178" s="4" t="s">
        <v>707</v>
      </c>
      <c r="R178" s="4" t="s">
        <v>27</v>
      </c>
      <c r="S178" s="4"/>
      <c r="T178" s="5">
        <v>42641</v>
      </c>
      <c r="U178" s="4" t="s">
        <v>708</v>
      </c>
      <c r="V178" s="4"/>
      <c r="W178" s="4"/>
      <c r="X178" s="4"/>
      <c r="Y178" s="4"/>
      <c r="Z178" s="4"/>
    </row>
    <row r="179" spans="1:26" x14ac:dyDescent="0.35">
      <c r="A179" s="2"/>
      <c r="B179" s="8" t="s">
        <v>57</v>
      </c>
      <c r="C179" s="10" t="s">
        <v>86</v>
      </c>
      <c r="D179" s="4" t="s">
        <v>64</v>
      </c>
      <c r="E179" s="4" t="s">
        <v>65</v>
      </c>
      <c r="F179" s="4" t="s">
        <v>24</v>
      </c>
      <c r="G179" s="4" t="s">
        <v>66</v>
      </c>
      <c r="H179" s="5">
        <v>42669</v>
      </c>
      <c r="I179" s="24">
        <v>0.38541666666666669</v>
      </c>
      <c r="J179" s="25">
        <v>0.41666666666666669</v>
      </c>
      <c r="K179" s="4">
        <v>45</v>
      </c>
      <c r="L179" s="6" t="s">
        <v>141</v>
      </c>
      <c r="M179" s="4" t="s">
        <v>142</v>
      </c>
      <c r="N179" s="4">
        <v>1809547659</v>
      </c>
      <c r="O179" s="4" t="s">
        <v>44</v>
      </c>
      <c r="P179" s="12">
        <v>42646.469270833331</v>
      </c>
      <c r="Q179" s="4" t="s">
        <v>68</v>
      </c>
      <c r="R179" s="4" t="s">
        <v>402</v>
      </c>
      <c r="S179" s="4"/>
      <c r="T179" s="5">
        <v>42646</v>
      </c>
      <c r="U179" s="4" t="s">
        <v>97</v>
      </c>
      <c r="V179" s="4"/>
      <c r="W179" s="4"/>
      <c r="X179" s="4"/>
      <c r="Y179" s="4"/>
      <c r="Z179" s="4"/>
    </row>
    <row r="180" spans="1:26" x14ac:dyDescent="0.35">
      <c r="A180" s="7" t="s">
        <v>28</v>
      </c>
      <c r="B180" s="8" t="s">
        <v>304</v>
      </c>
      <c r="C180" s="10" t="s">
        <v>86</v>
      </c>
      <c r="D180" s="4" t="s">
        <v>297</v>
      </c>
      <c r="E180" s="4" t="s">
        <v>298</v>
      </c>
      <c r="F180" s="4" t="s">
        <v>37</v>
      </c>
      <c r="G180" s="4" t="s">
        <v>299</v>
      </c>
      <c r="H180" s="5">
        <v>42669</v>
      </c>
      <c r="I180" s="24">
        <v>0.39583333333333331</v>
      </c>
      <c r="J180" s="25">
        <v>0.41666666666666663</v>
      </c>
      <c r="K180" s="4">
        <v>30</v>
      </c>
      <c r="L180" s="6" t="s">
        <v>177</v>
      </c>
      <c r="M180" s="4" t="s">
        <v>50</v>
      </c>
      <c r="N180" s="4">
        <v>1808569773</v>
      </c>
      <c r="O180" s="4" t="s">
        <v>44</v>
      </c>
      <c r="P180" s="12">
        <v>42613.633402777778</v>
      </c>
      <c r="Q180" s="4"/>
      <c r="R180" s="4" t="s">
        <v>178</v>
      </c>
      <c r="S180" s="4"/>
      <c r="T180" s="5">
        <v>42613</v>
      </c>
      <c r="U180" s="4" t="s">
        <v>159</v>
      </c>
      <c r="V180" s="4"/>
      <c r="W180" s="4"/>
      <c r="X180" s="4"/>
      <c r="Y180" s="4"/>
      <c r="Z180" s="4"/>
    </row>
    <row r="181" spans="1:26" x14ac:dyDescent="0.35">
      <c r="A181" s="2"/>
      <c r="B181" s="8" t="s">
        <v>112</v>
      </c>
      <c r="C181" s="4" t="s">
        <v>86</v>
      </c>
      <c r="D181" s="4" t="s">
        <v>300</v>
      </c>
      <c r="E181" s="4" t="s">
        <v>301</v>
      </c>
      <c r="F181" s="4" t="s">
        <v>41</v>
      </c>
      <c r="G181" s="4" t="s">
        <v>302</v>
      </c>
      <c r="H181" s="5">
        <v>42669</v>
      </c>
      <c r="I181" s="24">
        <v>0.41666666666666669</v>
      </c>
      <c r="J181" s="25">
        <v>0.52083333333333337</v>
      </c>
      <c r="K181" s="4">
        <v>150</v>
      </c>
      <c r="L181" s="14" t="s">
        <v>93</v>
      </c>
      <c r="M181" s="4" t="s">
        <v>303</v>
      </c>
      <c r="N181" s="4">
        <v>1809419319</v>
      </c>
      <c r="O181" s="4" t="s">
        <v>44</v>
      </c>
      <c r="P181" s="12">
        <v>42641.513148148151</v>
      </c>
      <c r="Q181" s="4"/>
      <c r="R181" s="4" t="s">
        <v>95</v>
      </c>
      <c r="S181" s="4" t="s">
        <v>712</v>
      </c>
      <c r="T181" s="5">
        <v>42641</v>
      </c>
      <c r="U181" s="4" t="s">
        <v>281</v>
      </c>
      <c r="V181" s="4" t="s">
        <v>17</v>
      </c>
      <c r="W181" s="4"/>
      <c r="X181" s="4"/>
      <c r="Y181" s="4"/>
      <c r="Z181" s="4"/>
    </row>
    <row r="182" spans="1:26" x14ac:dyDescent="0.35">
      <c r="A182" s="7" t="s">
        <v>28</v>
      </c>
      <c r="B182" s="8" t="s">
        <v>161</v>
      </c>
      <c r="C182" s="10" t="s">
        <v>86</v>
      </c>
      <c r="D182" s="4" t="s">
        <v>576</v>
      </c>
      <c r="E182" s="4" t="s">
        <v>414</v>
      </c>
      <c r="F182" s="4" t="s">
        <v>162</v>
      </c>
      <c r="G182" s="4" t="s">
        <v>577</v>
      </c>
      <c r="H182" s="5">
        <v>42669</v>
      </c>
      <c r="I182" s="24">
        <v>0.41666666666666669</v>
      </c>
      <c r="J182" s="25">
        <v>0.43055555555555558</v>
      </c>
      <c r="K182" s="4">
        <v>35</v>
      </c>
      <c r="L182" s="6" t="s">
        <v>181</v>
      </c>
      <c r="M182" s="4" t="s">
        <v>239</v>
      </c>
      <c r="N182" s="4">
        <v>1809763145</v>
      </c>
      <c r="O182" s="4" t="s">
        <v>44</v>
      </c>
      <c r="P182" s="12">
        <v>42653.363842592589</v>
      </c>
      <c r="Q182" s="4"/>
      <c r="R182" s="4" t="s">
        <v>181</v>
      </c>
      <c r="S182" s="4"/>
      <c r="T182" s="5">
        <v>42653</v>
      </c>
      <c r="U182" s="4" t="s">
        <v>198</v>
      </c>
      <c r="V182" s="4"/>
      <c r="W182" s="4"/>
      <c r="X182" s="4"/>
      <c r="Y182" s="4"/>
      <c r="Z182" s="4"/>
    </row>
    <row r="183" spans="1:26" x14ac:dyDescent="0.35">
      <c r="A183" s="7" t="s">
        <v>122</v>
      </c>
      <c r="B183" s="8" t="s">
        <v>123</v>
      </c>
      <c r="C183" s="10" t="s">
        <v>86</v>
      </c>
      <c r="D183" s="4" t="s">
        <v>218</v>
      </c>
      <c r="E183" s="4" t="s">
        <v>219</v>
      </c>
      <c r="F183" s="4" t="s">
        <v>114</v>
      </c>
      <c r="G183" s="4" t="s">
        <v>220</v>
      </c>
      <c r="H183" s="5">
        <v>42669</v>
      </c>
      <c r="I183" s="25">
        <v>0.54166666666666663</v>
      </c>
      <c r="J183" s="25">
        <v>0.58333333333333326</v>
      </c>
      <c r="K183" s="4">
        <v>60</v>
      </c>
      <c r="L183" s="4" t="s">
        <v>110</v>
      </c>
      <c r="M183" s="4" t="s">
        <v>221</v>
      </c>
      <c r="N183" s="4">
        <v>1810081769</v>
      </c>
      <c r="O183" s="4" t="s">
        <v>44</v>
      </c>
      <c r="P183" s="12">
        <v>42662.399768518517</v>
      </c>
      <c r="Q183" s="4" t="s">
        <v>222</v>
      </c>
      <c r="R183" s="4" t="s">
        <v>111</v>
      </c>
      <c r="S183" s="4"/>
      <c r="T183" s="5">
        <v>42662</v>
      </c>
      <c r="U183" s="4" t="s">
        <v>223</v>
      </c>
      <c r="V183" s="4"/>
      <c r="W183" s="4"/>
      <c r="X183" s="4"/>
      <c r="Y183" s="4"/>
      <c r="Z183" s="4"/>
    </row>
    <row r="184" spans="1:26" x14ac:dyDescent="0.35">
      <c r="A184" s="7" t="s">
        <v>122</v>
      </c>
      <c r="B184" s="8" t="s">
        <v>123</v>
      </c>
      <c r="C184" s="10" t="s">
        <v>40</v>
      </c>
      <c r="D184" s="4" t="s">
        <v>365</v>
      </c>
      <c r="E184" s="4" t="s">
        <v>366</v>
      </c>
      <c r="F184" s="4" t="s">
        <v>114</v>
      </c>
      <c r="G184" s="4" t="s">
        <v>367</v>
      </c>
      <c r="H184" s="5">
        <v>42669</v>
      </c>
      <c r="I184" s="24">
        <v>0.3125</v>
      </c>
      <c r="J184" s="25">
        <v>0.41666666666666669</v>
      </c>
      <c r="K184" s="4">
        <v>150</v>
      </c>
      <c r="L184" s="6" t="s">
        <v>115</v>
      </c>
      <c r="M184" s="4" t="s">
        <v>228</v>
      </c>
      <c r="N184" s="4">
        <v>1809237552</v>
      </c>
      <c r="O184" s="4" t="s">
        <v>44</v>
      </c>
      <c r="P184" s="12">
        <v>42635.452696759261</v>
      </c>
      <c r="Q184" s="4" t="s">
        <v>368</v>
      </c>
      <c r="R184" s="4" t="s">
        <v>229</v>
      </c>
      <c r="S184" s="4"/>
      <c r="T184" s="5">
        <v>42635</v>
      </c>
      <c r="U184" s="4" t="s">
        <v>56</v>
      </c>
      <c r="V184" s="4"/>
      <c r="W184" s="4"/>
      <c r="X184" s="4"/>
      <c r="Y184" s="4"/>
      <c r="Z184" s="4"/>
    </row>
    <row r="185" spans="1:26" x14ac:dyDescent="0.35">
      <c r="A185" s="16"/>
      <c r="B185" s="8" t="s">
        <v>209</v>
      </c>
      <c r="C185" s="10" t="s">
        <v>40</v>
      </c>
      <c r="D185" s="4" t="s">
        <v>314</v>
      </c>
      <c r="E185" s="4" t="s">
        <v>315</v>
      </c>
      <c r="F185" s="4" t="s">
        <v>210</v>
      </c>
      <c r="G185" s="4" t="s">
        <v>316</v>
      </c>
      <c r="H185" s="5">
        <v>42669</v>
      </c>
      <c r="I185" s="24">
        <v>0.41666666666666669</v>
      </c>
      <c r="J185" s="25">
        <v>0.47916666666666669</v>
      </c>
      <c r="K185" s="4">
        <v>90</v>
      </c>
      <c r="L185" s="6" t="s">
        <v>26</v>
      </c>
      <c r="M185" s="4" t="s">
        <v>336</v>
      </c>
      <c r="N185" s="4">
        <v>1809634243</v>
      </c>
      <c r="O185" s="4" t="s">
        <v>211</v>
      </c>
      <c r="P185" s="12">
        <v>42657.618506944447</v>
      </c>
      <c r="Q185" s="4" t="s">
        <v>465</v>
      </c>
      <c r="R185" s="4" t="s">
        <v>27</v>
      </c>
      <c r="S185" s="4"/>
      <c r="T185" s="5">
        <v>42648</v>
      </c>
      <c r="U185" s="4" t="s">
        <v>476</v>
      </c>
      <c r="V185" s="4"/>
      <c r="W185" s="5">
        <v>42657</v>
      </c>
      <c r="X185" s="4" t="s">
        <v>713</v>
      </c>
      <c r="Y185" s="4" t="s">
        <v>213</v>
      </c>
      <c r="Z185" s="4"/>
    </row>
    <row r="186" spans="1:26" x14ac:dyDescent="0.35">
      <c r="A186" s="16"/>
      <c r="B186" s="8" t="s">
        <v>209</v>
      </c>
      <c r="C186" s="10" t="s">
        <v>40</v>
      </c>
      <c r="D186" s="4" t="s">
        <v>314</v>
      </c>
      <c r="E186" s="4" t="s">
        <v>315</v>
      </c>
      <c r="F186" s="4" t="s">
        <v>210</v>
      </c>
      <c r="G186" s="4" t="s">
        <v>316</v>
      </c>
      <c r="H186" s="5">
        <v>42669</v>
      </c>
      <c r="I186" s="24">
        <v>0.47916666666666669</v>
      </c>
      <c r="J186" s="25">
        <v>0.54166666666666674</v>
      </c>
      <c r="K186" s="4">
        <v>90</v>
      </c>
      <c r="L186" s="6" t="s">
        <v>26</v>
      </c>
      <c r="M186" s="4" t="s">
        <v>479</v>
      </c>
      <c r="N186" s="4">
        <v>1809634244</v>
      </c>
      <c r="O186" s="4" t="s">
        <v>211</v>
      </c>
      <c r="P186" s="12">
        <v>42657.618506944447</v>
      </c>
      <c r="Q186" s="4" t="s">
        <v>465</v>
      </c>
      <c r="R186" s="4" t="s">
        <v>27</v>
      </c>
      <c r="S186" s="4"/>
      <c r="T186" s="5">
        <v>42648</v>
      </c>
      <c r="U186" s="4" t="s">
        <v>476</v>
      </c>
      <c r="V186" s="4"/>
      <c r="W186" s="5">
        <v>42657</v>
      </c>
      <c r="X186" s="4" t="s">
        <v>713</v>
      </c>
      <c r="Y186" s="4" t="s">
        <v>213</v>
      </c>
      <c r="Z186" s="4"/>
    </row>
    <row r="187" spans="1:26" x14ac:dyDescent="0.35">
      <c r="A187" s="2"/>
      <c r="B187" s="8" t="s">
        <v>474</v>
      </c>
      <c r="C187" s="10" t="s">
        <v>40</v>
      </c>
      <c r="D187" s="4" t="s">
        <v>230</v>
      </c>
      <c r="E187" s="4" t="s">
        <v>441</v>
      </c>
      <c r="F187" s="4" t="s">
        <v>41</v>
      </c>
      <c r="G187" s="4" t="s">
        <v>442</v>
      </c>
      <c r="H187" s="5">
        <v>42669</v>
      </c>
      <c r="I187" s="24">
        <v>0.5</v>
      </c>
      <c r="J187" s="25">
        <v>0.51388888888888884</v>
      </c>
      <c r="K187" s="4">
        <v>20</v>
      </c>
      <c r="L187" s="15" t="s">
        <v>133</v>
      </c>
      <c r="M187" s="4" t="s">
        <v>631</v>
      </c>
      <c r="N187" s="4">
        <v>1809322107</v>
      </c>
      <c r="O187" s="4" t="s">
        <v>96</v>
      </c>
      <c r="P187" s="12">
        <v>42639.425995370373</v>
      </c>
      <c r="Q187" s="4" t="s">
        <v>443</v>
      </c>
      <c r="R187" s="4" t="s">
        <v>271</v>
      </c>
      <c r="S187" s="4"/>
      <c r="T187" s="5">
        <v>42639</v>
      </c>
      <c r="U187" s="4" t="s">
        <v>371</v>
      </c>
      <c r="V187" s="4"/>
      <c r="W187" s="4"/>
      <c r="X187" s="4"/>
      <c r="Y187" s="4"/>
      <c r="Z187" s="4"/>
    </row>
    <row r="188" spans="1:26" x14ac:dyDescent="0.35">
      <c r="A188" s="11" t="s">
        <v>122</v>
      </c>
      <c r="B188" s="8" t="s">
        <v>217</v>
      </c>
      <c r="C188" s="10" t="s">
        <v>40</v>
      </c>
      <c r="D188" s="4" t="s">
        <v>124</v>
      </c>
      <c r="E188" s="4" t="s">
        <v>125</v>
      </c>
      <c r="F188" s="4" t="s">
        <v>114</v>
      </c>
      <c r="G188" s="4" t="s">
        <v>126</v>
      </c>
      <c r="H188" s="5">
        <v>42669</v>
      </c>
      <c r="I188" s="25">
        <v>0.5</v>
      </c>
      <c r="J188" s="25">
        <v>0.6875</v>
      </c>
      <c r="K188" s="4">
        <v>270</v>
      </c>
      <c r="L188" s="4" t="s">
        <v>26</v>
      </c>
      <c r="M188" s="4" t="s">
        <v>34</v>
      </c>
      <c r="N188" s="4">
        <v>1810084266</v>
      </c>
      <c r="O188" s="4" t="s">
        <v>44</v>
      </c>
      <c r="P188" s="12">
        <v>42662.423078703701</v>
      </c>
      <c r="Q188" s="4" t="s">
        <v>127</v>
      </c>
      <c r="R188" s="4" t="s">
        <v>27</v>
      </c>
      <c r="S188" s="4"/>
      <c r="T188" s="5">
        <v>42662</v>
      </c>
      <c r="U188" s="4" t="s">
        <v>97</v>
      </c>
      <c r="V188" s="4"/>
      <c r="W188" s="4"/>
      <c r="X188" s="4"/>
      <c r="Y188" s="4"/>
      <c r="Z188" s="4"/>
    </row>
    <row r="189" spans="1:26" x14ac:dyDescent="0.35">
      <c r="A189" s="28"/>
      <c r="B189" s="8" t="s">
        <v>400</v>
      </c>
      <c r="C189" s="11" t="s">
        <v>40</v>
      </c>
      <c r="D189" s="9" t="s">
        <v>714</v>
      </c>
      <c r="E189" s="9" t="s">
        <v>715</v>
      </c>
      <c r="F189" s="4" t="s">
        <v>349</v>
      </c>
      <c r="G189" s="9" t="s">
        <v>716</v>
      </c>
      <c r="H189" s="19">
        <v>42669</v>
      </c>
      <c r="I189" s="24">
        <v>0.54166666666666663</v>
      </c>
      <c r="J189" s="29">
        <v>0.55208333333333337</v>
      </c>
      <c r="K189" s="9">
        <v>15</v>
      </c>
      <c r="L189" s="9" t="s">
        <v>138</v>
      </c>
      <c r="M189" s="9" t="s">
        <v>243</v>
      </c>
      <c r="N189" s="9">
        <v>1809825159</v>
      </c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x14ac:dyDescent="0.35">
      <c r="A190" s="16"/>
      <c r="B190" s="8" t="s">
        <v>209</v>
      </c>
      <c r="C190" s="10" t="s">
        <v>40</v>
      </c>
      <c r="D190" s="4" t="s">
        <v>314</v>
      </c>
      <c r="E190" s="4" t="s">
        <v>315</v>
      </c>
      <c r="F190" s="4" t="s">
        <v>210</v>
      </c>
      <c r="G190" s="4" t="s">
        <v>316</v>
      </c>
      <c r="H190" s="5">
        <v>42669</v>
      </c>
      <c r="I190" s="24">
        <v>0.55208333333333337</v>
      </c>
      <c r="J190" s="25">
        <v>0.5625</v>
      </c>
      <c r="K190" s="4">
        <v>15</v>
      </c>
      <c r="L190" s="6" t="s">
        <v>26</v>
      </c>
      <c r="M190" s="4" t="s">
        <v>169</v>
      </c>
      <c r="N190" s="4">
        <v>1809634440</v>
      </c>
      <c r="O190" s="4" t="s">
        <v>211</v>
      </c>
      <c r="P190" s="12">
        <v>42657.618506944447</v>
      </c>
      <c r="Q190" s="4" t="s">
        <v>465</v>
      </c>
      <c r="R190" s="4" t="s">
        <v>27</v>
      </c>
      <c r="S190" s="4"/>
      <c r="T190" s="5">
        <v>42648</v>
      </c>
      <c r="U190" s="4" t="s">
        <v>476</v>
      </c>
      <c r="V190" s="4"/>
      <c r="W190" s="5">
        <v>42657</v>
      </c>
      <c r="X190" s="4" t="s">
        <v>713</v>
      </c>
      <c r="Y190" s="4" t="s">
        <v>213</v>
      </c>
      <c r="Z190" s="4"/>
    </row>
    <row r="191" spans="1:26" x14ac:dyDescent="0.35">
      <c r="A191" s="2"/>
      <c r="B191" s="8" t="s">
        <v>397</v>
      </c>
      <c r="C191" s="10" t="s">
        <v>40</v>
      </c>
      <c r="D191" s="4" t="s">
        <v>328</v>
      </c>
      <c r="E191" s="4" t="s">
        <v>329</v>
      </c>
      <c r="F191" s="4" t="s">
        <v>307</v>
      </c>
      <c r="G191" s="4" t="s">
        <v>330</v>
      </c>
      <c r="H191" s="5">
        <v>42669</v>
      </c>
      <c r="I191" s="24">
        <v>0.5625</v>
      </c>
      <c r="J191" s="25">
        <v>0.58333333333333337</v>
      </c>
      <c r="K191" s="4">
        <v>30</v>
      </c>
      <c r="L191" s="6" t="s">
        <v>156</v>
      </c>
      <c r="M191" s="4" t="s">
        <v>269</v>
      </c>
      <c r="N191" s="4">
        <v>1809886713</v>
      </c>
      <c r="O191" s="4" t="s">
        <v>44</v>
      </c>
      <c r="P191" s="12">
        <v>42655.61928240741</v>
      </c>
      <c r="Q191" s="4"/>
      <c r="R191" s="4" t="s">
        <v>156</v>
      </c>
      <c r="S191" s="4"/>
      <c r="T191" s="5">
        <v>42655</v>
      </c>
      <c r="U191" s="4" t="s">
        <v>248</v>
      </c>
      <c r="V191" s="4"/>
      <c r="W191" s="4"/>
      <c r="X191" s="4"/>
      <c r="Y191" s="4"/>
      <c r="Z191" s="4"/>
    </row>
    <row r="192" spans="1:26" x14ac:dyDescent="0.35">
      <c r="A192" s="28"/>
      <c r="B192" s="8" t="s">
        <v>400</v>
      </c>
      <c r="C192" s="11" t="s">
        <v>40</v>
      </c>
      <c r="D192" s="9" t="s">
        <v>714</v>
      </c>
      <c r="E192" s="9" t="s">
        <v>715</v>
      </c>
      <c r="F192" s="4" t="s">
        <v>349</v>
      </c>
      <c r="G192" s="9" t="s">
        <v>716</v>
      </c>
      <c r="H192" s="19">
        <v>42669</v>
      </c>
      <c r="I192" s="24">
        <v>0.5625</v>
      </c>
      <c r="J192" s="29">
        <v>0.60416666666666663</v>
      </c>
      <c r="K192" s="9">
        <v>60</v>
      </c>
      <c r="L192" s="9" t="s">
        <v>717</v>
      </c>
      <c r="M192" s="9" t="s">
        <v>147</v>
      </c>
      <c r="N192" s="9">
        <v>1809825160</v>
      </c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x14ac:dyDescent="0.35">
      <c r="A193" s="9"/>
      <c r="B193" s="8" t="s">
        <v>57</v>
      </c>
      <c r="C193" s="10" t="s">
        <v>40</v>
      </c>
      <c r="D193" s="4" t="s">
        <v>458</v>
      </c>
      <c r="E193" s="4" t="s">
        <v>459</v>
      </c>
      <c r="F193" s="4" t="s">
        <v>24</v>
      </c>
      <c r="G193" s="4" t="s">
        <v>267</v>
      </c>
      <c r="H193" s="5">
        <v>42669</v>
      </c>
      <c r="I193" s="25">
        <v>0.625</v>
      </c>
      <c r="J193" s="25">
        <v>0.65625</v>
      </c>
      <c r="K193" s="4">
        <v>45</v>
      </c>
      <c r="L193" s="4" t="s">
        <v>331</v>
      </c>
      <c r="M193" s="4" t="s">
        <v>718</v>
      </c>
      <c r="N193" s="4">
        <v>1810085380</v>
      </c>
      <c r="O193" s="4" t="s">
        <v>44</v>
      </c>
      <c r="P193" s="12">
        <v>42662.433113425926</v>
      </c>
      <c r="Q193" s="4"/>
      <c r="R193" s="4" t="s">
        <v>719</v>
      </c>
      <c r="S193" s="4"/>
      <c r="T193" s="5">
        <v>42662</v>
      </c>
      <c r="U193" s="4" t="s">
        <v>36</v>
      </c>
      <c r="V193" s="4"/>
      <c r="W193" s="4"/>
      <c r="X193" s="4"/>
      <c r="Y193" s="4"/>
      <c r="Z193" s="4"/>
    </row>
    <row r="194" spans="1:26" x14ac:dyDescent="0.35">
      <c r="A194" s="2"/>
      <c r="B194" s="8" t="s">
        <v>235</v>
      </c>
      <c r="C194" s="23" t="s">
        <v>40</v>
      </c>
      <c r="D194" s="4" t="s">
        <v>203</v>
      </c>
      <c r="E194" s="4" t="s">
        <v>204</v>
      </c>
      <c r="F194" s="4" t="s">
        <v>24</v>
      </c>
      <c r="G194" s="4" t="s">
        <v>205</v>
      </c>
      <c r="H194" s="5">
        <v>42669</v>
      </c>
      <c r="I194" s="24">
        <v>0.66666666666666663</v>
      </c>
      <c r="J194" s="25">
        <v>0.6875</v>
      </c>
      <c r="K194" s="4">
        <v>30</v>
      </c>
      <c r="L194" s="6" t="s">
        <v>49</v>
      </c>
      <c r="M194" s="4" t="s">
        <v>50</v>
      </c>
      <c r="N194" s="4">
        <v>1809901852</v>
      </c>
      <c r="O194" s="4" t="s">
        <v>44</v>
      </c>
      <c r="P194" s="12">
        <v>42656.365729166668</v>
      </c>
      <c r="Q194" s="4" t="s">
        <v>206</v>
      </c>
      <c r="R194" s="4" t="s">
        <v>165</v>
      </c>
      <c r="S194" s="4" t="s">
        <v>51</v>
      </c>
      <c r="T194" s="5">
        <v>42656</v>
      </c>
      <c r="U194" s="4" t="s">
        <v>45</v>
      </c>
      <c r="V194" s="4" t="s">
        <v>17</v>
      </c>
      <c r="W194" s="4"/>
      <c r="X194" s="4"/>
      <c r="Y194" s="4"/>
      <c r="Z194" s="4"/>
    </row>
    <row r="195" spans="1:26" x14ac:dyDescent="0.35">
      <c r="A195" s="7" t="s">
        <v>709</v>
      </c>
      <c r="B195" s="8" t="s">
        <v>278</v>
      </c>
      <c r="C195" s="23" t="s">
        <v>40</v>
      </c>
      <c r="D195" s="4" t="s">
        <v>294</v>
      </c>
      <c r="E195" s="4" t="s">
        <v>699</v>
      </c>
      <c r="F195" s="4" t="s">
        <v>114</v>
      </c>
      <c r="G195" s="4" t="s">
        <v>700</v>
      </c>
      <c r="H195" s="5">
        <v>42669</v>
      </c>
      <c r="I195" s="24">
        <v>0.6875</v>
      </c>
      <c r="J195" s="25">
        <v>0.70833333333333337</v>
      </c>
      <c r="K195" s="4">
        <v>30</v>
      </c>
      <c r="L195" s="6" t="s">
        <v>179</v>
      </c>
      <c r="M195" s="4" t="s">
        <v>50</v>
      </c>
      <c r="N195" s="4">
        <v>1809783160</v>
      </c>
      <c r="O195" s="4" t="s">
        <v>44</v>
      </c>
      <c r="P195" s="12">
        <v>42653.541516203702</v>
      </c>
      <c r="Q195" s="4" t="s">
        <v>710</v>
      </c>
      <c r="R195" s="4" t="s">
        <v>202</v>
      </c>
      <c r="S195" s="4" t="s">
        <v>51</v>
      </c>
      <c r="T195" s="5">
        <v>42653</v>
      </c>
      <c r="U195" s="4" t="s">
        <v>288</v>
      </c>
      <c r="V195" s="4" t="s">
        <v>17</v>
      </c>
      <c r="W195" s="4"/>
      <c r="X195" s="4"/>
      <c r="Y195" s="4"/>
      <c r="Z195" s="4"/>
    </row>
    <row r="196" spans="1:26" x14ac:dyDescent="0.35">
      <c r="A196" s="2"/>
      <c r="B196" s="8" t="s">
        <v>235</v>
      </c>
      <c r="C196" s="23" t="s">
        <v>40</v>
      </c>
      <c r="D196" s="4" t="s">
        <v>203</v>
      </c>
      <c r="E196" s="4" t="s">
        <v>204</v>
      </c>
      <c r="F196" s="4" t="s">
        <v>24</v>
      </c>
      <c r="G196" s="4" t="s">
        <v>205</v>
      </c>
      <c r="H196" s="5">
        <v>42669</v>
      </c>
      <c r="I196" s="24">
        <v>0.6875</v>
      </c>
      <c r="J196" s="25">
        <v>0.70833333333333337</v>
      </c>
      <c r="K196" s="4">
        <v>30</v>
      </c>
      <c r="L196" s="6" t="s">
        <v>53</v>
      </c>
      <c r="M196" s="4" t="s">
        <v>63</v>
      </c>
      <c r="N196" s="4">
        <v>1809903410</v>
      </c>
      <c r="O196" s="4" t="s">
        <v>44</v>
      </c>
      <c r="P196" s="12">
        <v>42656.384050925924</v>
      </c>
      <c r="Q196" s="4" t="s">
        <v>206</v>
      </c>
      <c r="R196" s="4" t="s">
        <v>55</v>
      </c>
      <c r="S196" s="4"/>
      <c r="T196" s="5">
        <v>42656</v>
      </c>
      <c r="U196" s="4" t="s">
        <v>45</v>
      </c>
      <c r="V196" s="4"/>
      <c r="W196" s="4"/>
      <c r="X196" s="4"/>
      <c r="Y196" s="4"/>
      <c r="Z196" s="4"/>
    </row>
    <row r="197" spans="1:26" hidden="1" x14ac:dyDescent="0.35">
      <c r="A197" s="4"/>
      <c r="B197" s="10" t="s">
        <v>22</v>
      </c>
      <c r="C197" s="4" t="s">
        <v>23</v>
      </c>
      <c r="D197" s="4" t="s">
        <v>340</v>
      </c>
      <c r="E197" s="4" t="s">
        <v>341</v>
      </c>
      <c r="F197" s="4" t="s">
        <v>289</v>
      </c>
      <c r="G197" s="4" t="s">
        <v>342</v>
      </c>
      <c r="H197" s="5">
        <v>42670</v>
      </c>
      <c r="I197" s="24">
        <v>0.29166666666666669</v>
      </c>
      <c r="J197" s="25">
        <v>0.30555555555555558</v>
      </c>
      <c r="K197" s="4">
        <v>20</v>
      </c>
      <c r="L197" s="6" t="s">
        <v>42</v>
      </c>
      <c r="M197" s="4" t="s">
        <v>43</v>
      </c>
      <c r="N197" s="4">
        <v>1808382340</v>
      </c>
      <c r="O197" s="4" t="s">
        <v>44</v>
      </c>
      <c r="P197" s="12">
        <v>42607.514733796299</v>
      </c>
      <c r="Q197" s="4"/>
      <c r="R197" s="4" t="s">
        <v>42</v>
      </c>
      <c r="S197" s="4"/>
      <c r="T197" s="5">
        <v>42607</v>
      </c>
      <c r="U197" s="4" t="s">
        <v>343</v>
      </c>
      <c r="V197" s="4"/>
      <c r="W197" s="4"/>
      <c r="X197" s="4"/>
      <c r="Y197" s="4"/>
      <c r="Z197" s="4"/>
    </row>
    <row r="198" spans="1:26" hidden="1" x14ac:dyDescent="0.35">
      <c r="A198" s="9"/>
      <c r="B198" s="3" t="s">
        <v>22</v>
      </c>
      <c r="C198" s="4" t="s">
        <v>23</v>
      </c>
      <c r="D198" s="4" t="s">
        <v>365</v>
      </c>
      <c r="E198" s="4" t="s">
        <v>366</v>
      </c>
      <c r="F198" s="4" t="s">
        <v>114</v>
      </c>
      <c r="G198" s="4" t="s">
        <v>367</v>
      </c>
      <c r="H198" s="5">
        <v>42670</v>
      </c>
      <c r="I198" s="25">
        <v>0.32291666666666669</v>
      </c>
      <c r="J198" s="25">
        <v>0.33333333333333337</v>
      </c>
      <c r="K198" s="4">
        <v>15</v>
      </c>
      <c r="L198" s="4" t="s">
        <v>25</v>
      </c>
      <c r="M198" s="4" t="s">
        <v>25</v>
      </c>
      <c r="N198" s="4">
        <v>1810181175</v>
      </c>
      <c r="O198" s="4" t="s">
        <v>44</v>
      </c>
      <c r="P198" s="12">
        <v>42664.533796296295</v>
      </c>
      <c r="Q198" s="4" t="s">
        <v>368</v>
      </c>
      <c r="R198" s="4" t="s">
        <v>25</v>
      </c>
      <c r="S198" s="4"/>
      <c r="T198" s="5">
        <v>42664</v>
      </c>
      <c r="U198" s="4" t="s">
        <v>377</v>
      </c>
      <c r="V198" s="4"/>
      <c r="W198" s="4"/>
      <c r="X198" s="4"/>
      <c r="Y198" s="4"/>
      <c r="Z198" s="4"/>
    </row>
    <row r="199" spans="1:26" hidden="1" x14ac:dyDescent="0.35">
      <c r="A199" s="9"/>
      <c r="B199" s="3" t="s">
        <v>22</v>
      </c>
      <c r="C199" s="4" t="s">
        <v>23</v>
      </c>
      <c r="D199" s="4" t="s">
        <v>667</v>
      </c>
      <c r="E199" s="4" t="s">
        <v>668</v>
      </c>
      <c r="F199" s="4" t="s">
        <v>24</v>
      </c>
      <c r="G199" s="4" t="s">
        <v>669</v>
      </c>
      <c r="H199" s="5">
        <v>42670</v>
      </c>
      <c r="I199" s="25">
        <v>0.32291666666666669</v>
      </c>
      <c r="J199" s="25">
        <v>0.33333333333333337</v>
      </c>
      <c r="K199" s="4">
        <v>15</v>
      </c>
      <c r="L199" s="4" t="s">
        <v>25</v>
      </c>
      <c r="M199" s="4" t="s">
        <v>670</v>
      </c>
      <c r="N199" s="4">
        <v>1810125518</v>
      </c>
      <c r="O199" s="4" t="s">
        <v>44</v>
      </c>
      <c r="P199" s="12">
        <v>42663.392962962964</v>
      </c>
      <c r="Q199" s="4"/>
      <c r="R199" s="4" t="s">
        <v>25</v>
      </c>
      <c r="S199" s="4"/>
      <c r="T199" s="5">
        <v>42663</v>
      </c>
      <c r="U199" s="4" t="s">
        <v>223</v>
      </c>
      <c r="V199" s="4"/>
      <c r="W199" s="4"/>
      <c r="X199" s="4"/>
      <c r="Y199" s="4"/>
      <c r="Z199" s="4"/>
    </row>
    <row r="200" spans="1:26" x14ac:dyDescent="0.35">
      <c r="A200" s="2"/>
      <c r="B200" s="8" t="s">
        <v>345</v>
      </c>
      <c r="C200" s="4" t="s">
        <v>23</v>
      </c>
      <c r="D200" s="4" t="s">
        <v>340</v>
      </c>
      <c r="E200" s="4" t="s">
        <v>341</v>
      </c>
      <c r="F200" s="4" t="s">
        <v>289</v>
      </c>
      <c r="G200" s="4" t="s">
        <v>342</v>
      </c>
      <c r="H200" s="5">
        <v>42670</v>
      </c>
      <c r="I200" s="24">
        <v>0.33333333333333331</v>
      </c>
      <c r="J200" s="25">
        <v>0.41666666666666663</v>
      </c>
      <c r="K200" s="4">
        <v>120</v>
      </c>
      <c r="L200" s="6" t="s">
        <v>26</v>
      </c>
      <c r="M200" s="4" t="s">
        <v>175</v>
      </c>
      <c r="N200" s="4">
        <v>1808382341</v>
      </c>
      <c r="O200" s="4" t="s">
        <v>44</v>
      </c>
      <c r="P200" s="12">
        <v>42607.514733796299</v>
      </c>
      <c r="Q200" s="4"/>
      <c r="R200" s="4" t="s">
        <v>27</v>
      </c>
      <c r="S200" s="4"/>
      <c r="T200" s="5">
        <v>42607</v>
      </c>
      <c r="U200" s="4" t="s">
        <v>343</v>
      </c>
      <c r="V200" s="4"/>
      <c r="W200" s="4"/>
      <c r="X200" s="4"/>
      <c r="Y200" s="4"/>
      <c r="Z200" s="4"/>
    </row>
    <row r="201" spans="1:26" x14ac:dyDescent="0.35">
      <c r="A201" s="30"/>
      <c r="B201" s="8" t="s">
        <v>379</v>
      </c>
      <c r="C201" s="4" t="s">
        <v>23</v>
      </c>
      <c r="D201" s="4" t="s">
        <v>559</v>
      </c>
      <c r="E201" s="4" t="s">
        <v>560</v>
      </c>
      <c r="F201" s="4" t="s">
        <v>32</v>
      </c>
      <c r="G201" s="4" t="s">
        <v>561</v>
      </c>
      <c r="H201" s="5">
        <v>42670</v>
      </c>
      <c r="I201" s="25">
        <v>0.35416666666666669</v>
      </c>
      <c r="J201" s="25">
        <v>0.45833333333333331</v>
      </c>
      <c r="K201" s="4">
        <v>150</v>
      </c>
      <c r="L201" s="4" t="s">
        <v>115</v>
      </c>
      <c r="M201" s="4" t="s">
        <v>116</v>
      </c>
      <c r="N201" s="4">
        <v>1810050800</v>
      </c>
      <c r="O201" s="4" t="s">
        <v>44</v>
      </c>
      <c r="P201" s="12">
        <v>42661.503680555557</v>
      </c>
      <c r="Q201" s="4" t="s">
        <v>564</v>
      </c>
      <c r="R201" s="4" t="s">
        <v>115</v>
      </c>
      <c r="S201" s="4"/>
      <c r="T201" s="5">
        <v>42661</v>
      </c>
      <c r="U201" s="4" t="s">
        <v>476</v>
      </c>
      <c r="V201" s="4"/>
      <c r="W201" s="4"/>
      <c r="X201" s="4"/>
      <c r="Y201" s="4"/>
      <c r="Z201" s="4"/>
    </row>
    <row r="202" spans="1:26" x14ac:dyDescent="0.35">
      <c r="A202" s="9"/>
      <c r="B202" s="8" t="s">
        <v>57</v>
      </c>
      <c r="C202" s="4" t="s">
        <v>23</v>
      </c>
      <c r="D202" s="4" t="s">
        <v>667</v>
      </c>
      <c r="E202" s="4" t="s">
        <v>668</v>
      </c>
      <c r="F202" s="4" t="s">
        <v>24</v>
      </c>
      <c r="G202" s="4" t="s">
        <v>669</v>
      </c>
      <c r="H202" s="5">
        <v>42670</v>
      </c>
      <c r="I202" s="25">
        <v>0.35416666666666669</v>
      </c>
      <c r="J202" s="25">
        <v>0.375</v>
      </c>
      <c r="K202" s="4">
        <v>30</v>
      </c>
      <c r="L202" s="4" t="s">
        <v>291</v>
      </c>
      <c r="M202" s="4" t="s">
        <v>720</v>
      </c>
      <c r="N202" s="4">
        <v>1810125216</v>
      </c>
      <c r="O202" s="4" t="s">
        <v>44</v>
      </c>
      <c r="P202" s="12">
        <v>42663.389791666668</v>
      </c>
      <c r="Q202" s="4"/>
      <c r="R202" s="4" t="s">
        <v>682</v>
      </c>
      <c r="S202" s="4"/>
      <c r="T202" s="5">
        <v>42663</v>
      </c>
      <c r="U202" s="4" t="s">
        <v>223</v>
      </c>
      <c r="V202" s="4"/>
      <c r="W202" s="4"/>
      <c r="X202" s="4"/>
      <c r="Y202" s="4"/>
      <c r="Z202" s="4"/>
    </row>
    <row r="203" spans="1:26" hidden="1" x14ac:dyDescent="0.35">
      <c r="A203" s="9"/>
      <c r="B203" s="26" t="s">
        <v>52</v>
      </c>
      <c r="C203" s="4" t="s">
        <v>23</v>
      </c>
      <c r="D203" s="4" t="s">
        <v>425</v>
      </c>
      <c r="E203" s="4" t="s">
        <v>426</v>
      </c>
      <c r="F203" s="4" t="s">
        <v>427</v>
      </c>
      <c r="G203" s="4" t="s">
        <v>428</v>
      </c>
      <c r="H203" s="5">
        <v>42670</v>
      </c>
      <c r="I203" s="25">
        <v>0.35416666666666669</v>
      </c>
      <c r="J203" s="25">
        <v>0.375</v>
      </c>
      <c r="K203" s="4">
        <v>30</v>
      </c>
      <c r="L203" s="4" t="s">
        <v>179</v>
      </c>
      <c r="M203" s="4" t="s">
        <v>50</v>
      </c>
      <c r="N203" s="4">
        <v>1810182049</v>
      </c>
      <c r="O203" s="4" t="s">
        <v>399</v>
      </c>
      <c r="P203" s="12">
        <v>42664.575891203705</v>
      </c>
      <c r="Q203" s="4" t="s">
        <v>429</v>
      </c>
      <c r="R203" s="4" t="s">
        <v>202</v>
      </c>
      <c r="S203" s="4" t="s">
        <v>51</v>
      </c>
      <c r="T203" s="5">
        <v>42664</v>
      </c>
      <c r="U203" s="4" t="s">
        <v>277</v>
      </c>
      <c r="V203" s="4" t="s">
        <v>17</v>
      </c>
      <c r="W203" s="4"/>
      <c r="X203" s="4"/>
      <c r="Y203" s="4"/>
      <c r="Z203" s="4"/>
    </row>
    <row r="204" spans="1:26" hidden="1" x14ac:dyDescent="0.35">
      <c r="A204" s="2"/>
      <c r="B204" s="10" t="s">
        <v>22</v>
      </c>
      <c r="C204" s="4" t="s">
        <v>23</v>
      </c>
      <c r="D204" s="4" t="s">
        <v>430</v>
      </c>
      <c r="E204" s="4" t="s">
        <v>431</v>
      </c>
      <c r="F204" s="4" t="s">
        <v>432</v>
      </c>
      <c r="G204" s="4" t="s">
        <v>433</v>
      </c>
      <c r="H204" s="5">
        <v>42670</v>
      </c>
      <c r="I204" s="24">
        <v>0.36458333333333331</v>
      </c>
      <c r="J204" s="25">
        <v>0.375</v>
      </c>
      <c r="K204" s="4">
        <v>15</v>
      </c>
      <c r="L204" s="6" t="s">
        <v>25</v>
      </c>
      <c r="M204" s="4" t="s">
        <v>25</v>
      </c>
      <c r="N204" s="4">
        <v>1809947616</v>
      </c>
      <c r="O204" s="4" t="s">
        <v>44</v>
      </c>
      <c r="P204" s="12">
        <v>42657.430752314816</v>
      </c>
      <c r="Q204" s="4" t="s">
        <v>434</v>
      </c>
      <c r="R204" s="4" t="s">
        <v>25</v>
      </c>
      <c r="S204" s="4"/>
      <c r="T204" s="5">
        <v>42657</v>
      </c>
      <c r="U204" s="4" t="s">
        <v>56</v>
      </c>
      <c r="V204" s="4"/>
      <c r="W204" s="4"/>
      <c r="X204" s="4"/>
      <c r="Y204" s="4"/>
      <c r="Z204" s="4"/>
    </row>
    <row r="205" spans="1:26" x14ac:dyDescent="0.35">
      <c r="A205" s="9"/>
      <c r="B205" s="8" t="s">
        <v>217</v>
      </c>
      <c r="C205" s="4" t="s">
        <v>23</v>
      </c>
      <c r="D205" s="4" t="s">
        <v>365</v>
      </c>
      <c r="E205" s="4" t="s">
        <v>366</v>
      </c>
      <c r="F205" s="4" t="s">
        <v>114</v>
      </c>
      <c r="G205" s="4" t="s">
        <v>367</v>
      </c>
      <c r="H205" s="5">
        <v>42670</v>
      </c>
      <c r="I205" s="25">
        <v>0.375</v>
      </c>
      <c r="J205" s="25">
        <v>0.39583333333333331</v>
      </c>
      <c r="K205" s="4">
        <v>30</v>
      </c>
      <c r="L205" s="4" t="s">
        <v>49</v>
      </c>
      <c r="M205" s="4" t="s">
        <v>50</v>
      </c>
      <c r="N205" s="4">
        <v>1810178424</v>
      </c>
      <c r="O205" s="4" t="s">
        <v>44</v>
      </c>
      <c r="P205" s="12">
        <v>42664.501226851855</v>
      </c>
      <c r="Q205" s="4" t="s">
        <v>368</v>
      </c>
      <c r="R205" s="4" t="s">
        <v>165</v>
      </c>
      <c r="S205" s="4" t="s">
        <v>51</v>
      </c>
      <c r="T205" s="5">
        <v>42664</v>
      </c>
      <c r="U205" s="4" t="s">
        <v>377</v>
      </c>
      <c r="V205" s="4" t="s">
        <v>17</v>
      </c>
      <c r="W205" s="4"/>
      <c r="X205" s="4"/>
      <c r="Y205" s="4"/>
      <c r="Z205" s="4"/>
    </row>
    <row r="206" spans="1:26" hidden="1" x14ac:dyDescent="0.35">
      <c r="A206" s="9"/>
      <c r="B206" s="10" t="s">
        <v>103</v>
      </c>
      <c r="C206" s="4" t="s">
        <v>23</v>
      </c>
      <c r="D206" s="4" t="s">
        <v>501</v>
      </c>
      <c r="E206" s="4" t="s">
        <v>502</v>
      </c>
      <c r="F206" s="4" t="s">
        <v>119</v>
      </c>
      <c r="G206" s="4" t="s">
        <v>503</v>
      </c>
      <c r="H206" s="5">
        <v>42670</v>
      </c>
      <c r="I206" s="25">
        <v>0.375</v>
      </c>
      <c r="J206" s="25">
        <v>0.38541666666666669</v>
      </c>
      <c r="K206" s="4">
        <v>15</v>
      </c>
      <c r="L206" s="4" t="s">
        <v>261</v>
      </c>
      <c r="M206" s="4" t="s">
        <v>262</v>
      </c>
      <c r="N206" s="4">
        <v>1810342691</v>
      </c>
      <c r="O206" s="4" t="s">
        <v>44</v>
      </c>
      <c r="P206" s="12">
        <v>42669.805625000001</v>
      </c>
      <c r="Q206" s="4" t="s">
        <v>504</v>
      </c>
      <c r="R206" s="4" t="s">
        <v>156</v>
      </c>
      <c r="S206" s="4"/>
      <c r="T206" s="5">
        <v>42669</v>
      </c>
      <c r="U206" s="4" t="s">
        <v>721</v>
      </c>
      <c r="V206" s="4"/>
      <c r="W206" s="4"/>
      <c r="X206" s="4"/>
      <c r="Y206" s="4"/>
      <c r="Z206" s="4"/>
    </row>
    <row r="207" spans="1:26" hidden="1" x14ac:dyDescent="0.35">
      <c r="A207" s="2"/>
      <c r="B207" s="3" t="s">
        <v>22</v>
      </c>
      <c r="C207" s="4" t="s">
        <v>23</v>
      </c>
      <c r="D207" s="4" t="s">
        <v>383</v>
      </c>
      <c r="E207" s="4" t="s">
        <v>722</v>
      </c>
      <c r="F207" s="4" t="s">
        <v>723</v>
      </c>
      <c r="G207" s="4" t="s">
        <v>724</v>
      </c>
      <c r="H207" s="5">
        <v>42670</v>
      </c>
      <c r="I207" s="24">
        <v>0.375</v>
      </c>
      <c r="J207" s="25">
        <v>0.3888888888888889</v>
      </c>
      <c r="K207" s="4">
        <v>20</v>
      </c>
      <c r="L207" s="6" t="s">
        <v>42</v>
      </c>
      <c r="M207" s="4" t="s">
        <v>43</v>
      </c>
      <c r="N207" s="4">
        <v>1809012795</v>
      </c>
      <c r="O207" s="4" t="s">
        <v>44</v>
      </c>
      <c r="P207" s="12">
        <v>42628.433807870373</v>
      </c>
      <c r="Q207" s="4" t="s">
        <v>725</v>
      </c>
      <c r="R207" s="4" t="s">
        <v>42</v>
      </c>
      <c r="S207" s="4"/>
      <c r="T207" s="5">
        <v>42628</v>
      </c>
      <c r="U207" s="4" t="s">
        <v>354</v>
      </c>
      <c r="V207" s="4"/>
      <c r="W207" s="4"/>
      <c r="X207" s="4"/>
      <c r="Y207" s="4"/>
      <c r="Z207" s="4"/>
    </row>
    <row r="208" spans="1:26" hidden="1" x14ac:dyDescent="0.35">
      <c r="A208" s="2"/>
      <c r="B208" s="10" t="s">
        <v>103</v>
      </c>
      <c r="C208" s="4" t="s">
        <v>23</v>
      </c>
      <c r="D208" s="4" t="s">
        <v>726</v>
      </c>
      <c r="E208" s="4" t="s">
        <v>475</v>
      </c>
      <c r="F208" s="4" t="s">
        <v>24</v>
      </c>
      <c r="G208" s="4" t="s">
        <v>727</v>
      </c>
      <c r="H208" s="5">
        <v>42670</v>
      </c>
      <c r="I208" s="24">
        <v>0.375</v>
      </c>
      <c r="J208" s="25">
        <v>0.38541666666666669</v>
      </c>
      <c r="K208" s="4">
        <v>15</v>
      </c>
      <c r="L208" s="14" t="s">
        <v>93</v>
      </c>
      <c r="M208" s="4" t="s">
        <v>704</v>
      </c>
      <c r="N208" s="4">
        <v>1809246436</v>
      </c>
      <c r="O208" s="4" t="s">
        <v>44</v>
      </c>
      <c r="P208" s="12">
        <v>42635.548379629632</v>
      </c>
      <c r="Q208" s="4"/>
      <c r="R208" s="4" t="s">
        <v>93</v>
      </c>
      <c r="S208" s="4"/>
      <c r="T208" s="5">
        <v>42635</v>
      </c>
      <c r="U208" s="4" t="s">
        <v>554</v>
      </c>
      <c r="V208" s="4"/>
      <c r="W208" s="4"/>
      <c r="X208" s="4"/>
      <c r="Y208" s="4"/>
      <c r="Z208" s="4"/>
    </row>
    <row r="209" spans="1:26" hidden="1" x14ac:dyDescent="0.35">
      <c r="A209" s="2"/>
      <c r="B209" s="13" t="s">
        <v>52</v>
      </c>
      <c r="C209" s="4" t="s">
        <v>23</v>
      </c>
      <c r="D209" s="4" t="s">
        <v>726</v>
      </c>
      <c r="E209" s="4" t="s">
        <v>475</v>
      </c>
      <c r="F209" s="4" t="s">
        <v>24</v>
      </c>
      <c r="G209" s="4" t="s">
        <v>727</v>
      </c>
      <c r="H209" s="5">
        <v>42670</v>
      </c>
      <c r="I209" s="24">
        <v>0.375</v>
      </c>
      <c r="J209" s="25">
        <v>0.41666666666666669</v>
      </c>
      <c r="K209" s="4">
        <v>70</v>
      </c>
      <c r="L209" s="14" t="s">
        <v>93</v>
      </c>
      <c r="M209" s="4" t="s">
        <v>303</v>
      </c>
      <c r="N209" s="4">
        <v>1809246437</v>
      </c>
      <c r="O209" s="4" t="s">
        <v>44</v>
      </c>
      <c r="P209" s="12">
        <v>42635.548379629632</v>
      </c>
      <c r="Q209" s="4"/>
      <c r="R209" s="4" t="s">
        <v>95</v>
      </c>
      <c r="S209" s="4"/>
      <c r="T209" s="5">
        <v>42635</v>
      </c>
      <c r="U209" s="4" t="s">
        <v>554</v>
      </c>
      <c r="V209" s="4"/>
      <c r="W209" s="4"/>
      <c r="X209" s="4"/>
      <c r="Y209" s="4"/>
      <c r="Z209" s="4"/>
    </row>
    <row r="210" spans="1:26" hidden="1" x14ac:dyDescent="0.35">
      <c r="A210" s="9"/>
      <c r="B210" s="26" t="s">
        <v>52</v>
      </c>
      <c r="C210" s="4" t="s">
        <v>23</v>
      </c>
      <c r="D210" s="4" t="s">
        <v>425</v>
      </c>
      <c r="E210" s="4" t="s">
        <v>426</v>
      </c>
      <c r="F210" s="4" t="s">
        <v>427</v>
      </c>
      <c r="G210" s="4" t="s">
        <v>428</v>
      </c>
      <c r="H210" s="5">
        <v>42670</v>
      </c>
      <c r="I210" s="25">
        <v>0.375</v>
      </c>
      <c r="J210" s="25">
        <v>0.39583333333333331</v>
      </c>
      <c r="K210" s="4">
        <v>30</v>
      </c>
      <c r="L210" s="4" t="s">
        <v>104</v>
      </c>
      <c r="M210" s="4" t="s">
        <v>728</v>
      </c>
      <c r="N210" s="4">
        <v>1810282324</v>
      </c>
      <c r="O210" s="4" t="s">
        <v>44</v>
      </c>
      <c r="P210" s="12">
        <v>42668.531099537038</v>
      </c>
      <c r="Q210" s="4" t="s">
        <v>429</v>
      </c>
      <c r="R210" s="4" t="s">
        <v>729</v>
      </c>
      <c r="S210" s="4"/>
      <c r="T210" s="5">
        <v>42668</v>
      </c>
      <c r="U210" s="4" t="s">
        <v>277</v>
      </c>
      <c r="V210" s="4"/>
      <c r="W210" s="4"/>
      <c r="X210" s="4"/>
      <c r="Y210" s="4"/>
      <c r="Z210" s="4"/>
    </row>
    <row r="211" spans="1:26" x14ac:dyDescent="0.35">
      <c r="A211" s="2"/>
      <c r="B211" s="30" t="s">
        <v>474</v>
      </c>
      <c r="C211" s="4" t="s">
        <v>23</v>
      </c>
      <c r="D211" s="4" t="s">
        <v>730</v>
      </c>
      <c r="E211" s="4" t="s">
        <v>571</v>
      </c>
      <c r="F211" s="4" t="s">
        <v>114</v>
      </c>
      <c r="G211" s="4" t="s">
        <v>572</v>
      </c>
      <c r="H211" s="5">
        <v>42670</v>
      </c>
      <c r="I211" s="24">
        <v>0.375</v>
      </c>
      <c r="J211" s="25">
        <v>0.41666666666666669</v>
      </c>
      <c r="K211" s="4">
        <v>60</v>
      </c>
      <c r="L211" s="4" t="s">
        <v>167</v>
      </c>
      <c r="M211" s="4"/>
      <c r="N211" s="4"/>
      <c r="O211" s="4"/>
      <c r="P211" s="12"/>
      <c r="Q211" s="4"/>
      <c r="R211" s="4"/>
      <c r="S211" s="4"/>
      <c r="T211" s="5"/>
      <c r="U211" s="4"/>
      <c r="V211" s="4"/>
      <c r="W211" s="4"/>
      <c r="X211" s="4"/>
      <c r="Y211" s="4"/>
      <c r="Z211" s="4"/>
    </row>
    <row r="212" spans="1:26" x14ac:dyDescent="0.35">
      <c r="A212" s="2"/>
      <c r="B212" s="8" t="s">
        <v>70</v>
      </c>
      <c r="C212" s="4" t="s">
        <v>23</v>
      </c>
      <c r="D212" s="4" t="s">
        <v>480</v>
      </c>
      <c r="E212" s="4" t="s">
        <v>185</v>
      </c>
      <c r="F212" s="4" t="s">
        <v>24</v>
      </c>
      <c r="G212" s="4" t="s">
        <v>731</v>
      </c>
      <c r="H212" s="5">
        <v>42670</v>
      </c>
      <c r="I212" s="24">
        <v>0.375</v>
      </c>
      <c r="J212" s="25">
        <v>0.38541666666666669</v>
      </c>
      <c r="K212" s="4">
        <v>15</v>
      </c>
      <c r="L212" s="6" t="s">
        <v>138</v>
      </c>
      <c r="M212" s="4" t="s">
        <v>243</v>
      </c>
      <c r="N212" s="4">
        <v>1809796856</v>
      </c>
      <c r="O212" s="4" t="s">
        <v>44</v>
      </c>
      <c r="P212" s="12">
        <v>42653.665891203702</v>
      </c>
      <c r="Q212" s="4"/>
      <c r="R212" s="4" t="s">
        <v>138</v>
      </c>
      <c r="S212" s="4"/>
      <c r="T212" s="5">
        <v>42653</v>
      </c>
      <c r="U212" s="4" t="s">
        <v>606</v>
      </c>
      <c r="V212" s="4"/>
      <c r="W212" s="4"/>
      <c r="X212" s="4"/>
      <c r="Y212" s="4"/>
      <c r="Z212" s="4"/>
    </row>
    <row r="213" spans="1:26" x14ac:dyDescent="0.35">
      <c r="A213" s="9"/>
      <c r="B213" s="8" t="s">
        <v>57</v>
      </c>
      <c r="C213" s="4" t="s">
        <v>23</v>
      </c>
      <c r="D213" s="4" t="s">
        <v>667</v>
      </c>
      <c r="E213" s="4" t="s">
        <v>668</v>
      </c>
      <c r="F213" s="4" t="s">
        <v>24</v>
      </c>
      <c r="G213" s="4" t="s">
        <v>669</v>
      </c>
      <c r="H213" s="5">
        <v>42670</v>
      </c>
      <c r="I213" s="25">
        <v>0.38541666666666669</v>
      </c>
      <c r="J213" s="25">
        <v>0.39583333333333331</v>
      </c>
      <c r="K213" s="4">
        <v>15</v>
      </c>
      <c r="L213" s="4" t="s">
        <v>291</v>
      </c>
      <c r="M213" s="4" t="s">
        <v>529</v>
      </c>
      <c r="N213" s="4"/>
      <c r="O213" s="4"/>
      <c r="P213" s="12"/>
      <c r="Q213" s="4"/>
      <c r="R213" s="4"/>
      <c r="S213" s="4"/>
      <c r="T213" s="5"/>
      <c r="U213" s="4"/>
      <c r="V213" s="4"/>
      <c r="W213" s="4"/>
      <c r="X213" s="4"/>
      <c r="Y213" s="4"/>
      <c r="Z213" s="4"/>
    </row>
    <row r="214" spans="1:26" hidden="1" x14ac:dyDescent="0.35">
      <c r="A214" s="7"/>
      <c r="B214" s="3" t="s">
        <v>22</v>
      </c>
      <c r="C214" s="4" t="s">
        <v>23</v>
      </c>
      <c r="D214" s="4" t="s">
        <v>454</v>
      </c>
      <c r="E214" s="4" t="s">
        <v>732</v>
      </c>
      <c r="F214" s="4" t="s">
        <v>114</v>
      </c>
      <c r="G214" s="4" t="s">
        <v>733</v>
      </c>
      <c r="H214" s="5">
        <v>42670</v>
      </c>
      <c r="I214" s="25">
        <v>0.38541666666666669</v>
      </c>
      <c r="J214" s="25">
        <v>0.39583333333333331</v>
      </c>
      <c r="K214" s="4">
        <v>15</v>
      </c>
      <c r="L214" s="4" t="s">
        <v>25</v>
      </c>
      <c r="M214" s="4"/>
      <c r="N214" s="4"/>
      <c r="O214" s="4"/>
      <c r="P214" s="12"/>
      <c r="Q214" s="4"/>
      <c r="R214" s="4"/>
      <c r="S214" s="4"/>
      <c r="T214" s="5"/>
      <c r="U214" s="4"/>
      <c r="V214" s="4"/>
      <c r="W214" s="4"/>
      <c r="X214" s="4"/>
      <c r="Y214" s="4"/>
      <c r="Z214" s="4"/>
    </row>
    <row r="215" spans="1:26" x14ac:dyDescent="0.35">
      <c r="A215" s="9"/>
      <c r="B215" s="8" t="s">
        <v>70</v>
      </c>
      <c r="C215" s="4" t="s">
        <v>23</v>
      </c>
      <c r="D215" s="4" t="s">
        <v>480</v>
      </c>
      <c r="E215" s="4" t="s">
        <v>185</v>
      </c>
      <c r="F215" s="4" t="s">
        <v>24</v>
      </c>
      <c r="G215" s="4" t="s">
        <v>731</v>
      </c>
      <c r="H215" s="5">
        <v>42670</v>
      </c>
      <c r="I215" s="25">
        <v>0.38541666666666669</v>
      </c>
      <c r="J215" s="25">
        <v>0.39583333333333337</v>
      </c>
      <c r="K215" s="4">
        <v>15</v>
      </c>
      <c r="L215" s="4" t="s">
        <v>120</v>
      </c>
      <c r="M215" s="4" t="s">
        <v>121</v>
      </c>
      <c r="N215" s="4">
        <v>1810152029</v>
      </c>
      <c r="O215" s="4" t="s">
        <v>44</v>
      </c>
      <c r="P215" s="12">
        <v>42663.661956018521</v>
      </c>
      <c r="Q215" s="4"/>
      <c r="R215" s="4" t="s">
        <v>120</v>
      </c>
      <c r="S215" s="4"/>
      <c r="T215" s="5">
        <v>42663</v>
      </c>
      <c r="U215" s="4" t="s">
        <v>606</v>
      </c>
      <c r="V215" s="4"/>
      <c r="W215" s="4"/>
      <c r="X215" s="4"/>
      <c r="Y215" s="4"/>
      <c r="Z215" s="4"/>
    </row>
    <row r="216" spans="1:26" x14ac:dyDescent="0.35">
      <c r="A216" s="9"/>
      <c r="B216" s="8" t="s">
        <v>217</v>
      </c>
      <c r="C216" s="4" t="s">
        <v>23</v>
      </c>
      <c r="D216" s="4" t="s">
        <v>365</v>
      </c>
      <c r="E216" s="4" t="s">
        <v>366</v>
      </c>
      <c r="F216" s="4" t="s">
        <v>114</v>
      </c>
      <c r="G216" s="4" t="s">
        <v>367</v>
      </c>
      <c r="H216" s="5">
        <v>42670</v>
      </c>
      <c r="I216" s="25">
        <v>0.39583333333333331</v>
      </c>
      <c r="J216" s="25">
        <v>0.41666666666666663</v>
      </c>
      <c r="K216" s="4">
        <v>30</v>
      </c>
      <c r="L216" s="4" t="s">
        <v>53</v>
      </c>
      <c r="M216" s="4" t="s">
        <v>63</v>
      </c>
      <c r="N216" s="4">
        <v>1810178425</v>
      </c>
      <c r="O216" s="4" t="s">
        <v>44</v>
      </c>
      <c r="P216" s="12">
        <v>42664.501226851855</v>
      </c>
      <c r="Q216" s="4" t="s">
        <v>368</v>
      </c>
      <c r="R216" s="4" t="s">
        <v>55</v>
      </c>
      <c r="S216" s="4"/>
      <c r="T216" s="5">
        <v>42664</v>
      </c>
      <c r="U216" s="4" t="s">
        <v>377</v>
      </c>
      <c r="V216" s="4"/>
      <c r="W216" s="4"/>
      <c r="X216" s="4"/>
      <c r="Y216" s="4"/>
      <c r="Z216" s="4"/>
    </row>
    <row r="217" spans="1:26" hidden="1" x14ac:dyDescent="0.35">
      <c r="A217" s="2"/>
      <c r="B217" s="32" t="s">
        <v>52</v>
      </c>
      <c r="C217" s="4" t="s">
        <v>23</v>
      </c>
      <c r="D217" s="4" t="s">
        <v>430</v>
      </c>
      <c r="E217" s="4" t="s">
        <v>431</v>
      </c>
      <c r="F217" s="4" t="s">
        <v>432</v>
      </c>
      <c r="G217" s="4" t="s">
        <v>433</v>
      </c>
      <c r="H217" s="5">
        <v>42670</v>
      </c>
      <c r="I217" s="24">
        <v>0.39583333333333331</v>
      </c>
      <c r="J217" s="25">
        <v>0.41666666666666663</v>
      </c>
      <c r="K217" s="4">
        <v>30</v>
      </c>
      <c r="L217" s="6" t="s">
        <v>49</v>
      </c>
      <c r="M217" s="4" t="s">
        <v>50</v>
      </c>
      <c r="N217" s="4">
        <v>1809947617</v>
      </c>
      <c r="O217" s="4" t="s">
        <v>44</v>
      </c>
      <c r="P217" s="12">
        <v>42657.430752314816</v>
      </c>
      <c r="Q217" s="4" t="s">
        <v>434</v>
      </c>
      <c r="R217" s="4" t="s">
        <v>165</v>
      </c>
      <c r="S217" s="4"/>
      <c r="T217" s="5">
        <v>42657</v>
      </c>
      <c r="U217" s="4" t="s">
        <v>56</v>
      </c>
      <c r="V217" s="4"/>
      <c r="W217" s="4"/>
      <c r="X217" s="4"/>
      <c r="Y217" s="4"/>
      <c r="Z217" s="4"/>
    </row>
    <row r="218" spans="1:26" hidden="1" x14ac:dyDescent="0.35">
      <c r="A218" s="9"/>
      <c r="B218" s="32" t="s">
        <v>52</v>
      </c>
      <c r="C218" s="4" t="s">
        <v>23</v>
      </c>
      <c r="D218" s="4" t="s">
        <v>662</v>
      </c>
      <c r="E218" s="4" t="s">
        <v>663</v>
      </c>
      <c r="F218" s="4" t="s">
        <v>140</v>
      </c>
      <c r="G218" s="4" t="s">
        <v>664</v>
      </c>
      <c r="H218" s="5">
        <v>42670</v>
      </c>
      <c r="I218" s="25">
        <v>0.39583333333333331</v>
      </c>
      <c r="J218" s="25">
        <v>0.5625</v>
      </c>
      <c r="K218" s="4">
        <v>240</v>
      </c>
      <c r="L218" s="6" t="s">
        <v>253</v>
      </c>
      <c r="M218" s="4"/>
      <c r="N218" s="4"/>
      <c r="O218" s="4"/>
      <c r="P218" s="12"/>
      <c r="Q218" s="4"/>
      <c r="R218" s="4"/>
      <c r="S218" s="4"/>
      <c r="T218" s="5"/>
      <c r="U218" s="4"/>
      <c r="V218" s="4"/>
      <c r="W218" s="4"/>
      <c r="X218" s="4"/>
      <c r="Y218" s="4"/>
      <c r="Z218" s="4"/>
    </row>
    <row r="219" spans="1:26" x14ac:dyDescent="0.35">
      <c r="A219" s="2"/>
      <c r="B219" s="8" t="s">
        <v>70</v>
      </c>
      <c r="C219" s="4" t="s">
        <v>23</v>
      </c>
      <c r="D219" s="4" t="s">
        <v>480</v>
      </c>
      <c r="E219" s="4" t="s">
        <v>185</v>
      </c>
      <c r="F219" s="4" t="s">
        <v>24</v>
      </c>
      <c r="G219" s="4" t="s">
        <v>731</v>
      </c>
      <c r="H219" s="5">
        <v>42670</v>
      </c>
      <c r="I219" s="24">
        <v>0.39583333333333331</v>
      </c>
      <c r="J219" s="25">
        <v>0.45833333333333331</v>
      </c>
      <c r="K219" s="4">
        <v>90</v>
      </c>
      <c r="L219" s="6" t="s">
        <v>179</v>
      </c>
      <c r="M219" s="4" t="s">
        <v>147</v>
      </c>
      <c r="N219" s="4">
        <v>1809796989</v>
      </c>
      <c r="O219" s="4" t="s">
        <v>44</v>
      </c>
      <c r="P219" s="12">
        <v>42653.667326388888</v>
      </c>
      <c r="Q219" s="4"/>
      <c r="R219" s="4" t="s">
        <v>655</v>
      </c>
      <c r="S219" s="4"/>
      <c r="T219" s="5">
        <v>42653</v>
      </c>
      <c r="U219" s="4" t="s">
        <v>606</v>
      </c>
      <c r="V219" s="4"/>
      <c r="W219" s="4"/>
      <c r="X219" s="4"/>
      <c r="Y219" s="4"/>
      <c r="Z219" s="4"/>
    </row>
    <row r="220" spans="1:26" hidden="1" x14ac:dyDescent="0.35">
      <c r="A220" s="2"/>
      <c r="B220" s="3" t="s">
        <v>22</v>
      </c>
      <c r="C220" s="4" t="s">
        <v>23</v>
      </c>
      <c r="D220" s="4" t="s">
        <v>355</v>
      </c>
      <c r="E220" s="4" t="s">
        <v>356</v>
      </c>
      <c r="F220" s="4" t="s">
        <v>24</v>
      </c>
      <c r="G220" s="4" t="s">
        <v>357</v>
      </c>
      <c r="H220" s="5">
        <v>42670</v>
      </c>
      <c r="I220" s="24">
        <v>0.40625</v>
      </c>
      <c r="J220" s="25">
        <v>0.41666666666666669</v>
      </c>
      <c r="K220" s="4">
        <v>15</v>
      </c>
      <c r="L220" s="6" t="s">
        <v>25</v>
      </c>
      <c r="M220" s="4" t="s">
        <v>25</v>
      </c>
      <c r="N220" s="4">
        <v>1809884090</v>
      </c>
      <c r="O220" s="4" t="s">
        <v>44</v>
      </c>
      <c r="P220" s="12">
        <v>42655.593981481485</v>
      </c>
      <c r="Q220" s="4" t="s">
        <v>358</v>
      </c>
      <c r="R220" s="4" t="s">
        <v>25</v>
      </c>
      <c r="S220" s="4"/>
      <c r="T220" s="5">
        <v>42655</v>
      </c>
      <c r="U220" s="4" t="s">
        <v>370</v>
      </c>
      <c r="V220" s="4"/>
      <c r="W220" s="4"/>
      <c r="X220" s="4"/>
      <c r="Y220" s="4"/>
      <c r="Z220" s="4"/>
    </row>
    <row r="221" spans="1:26" x14ac:dyDescent="0.35">
      <c r="A221" s="16" t="s">
        <v>28</v>
      </c>
      <c r="B221" s="20" t="s">
        <v>440</v>
      </c>
      <c r="C221" s="4" t="s">
        <v>23</v>
      </c>
      <c r="D221" s="4" t="s">
        <v>113</v>
      </c>
      <c r="E221" s="4" t="s">
        <v>734</v>
      </c>
      <c r="F221" s="4" t="s">
        <v>140</v>
      </c>
      <c r="G221" s="4" t="s">
        <v>735</v>
      </c>
      <c r="H221" s="5">
        <v>42670</v>
      </c>
      <c r="I221" s="24">
        <v>0.41666666666666669</v>
      </c>
      <c r="J221" s="25">
        <v>0.4375</v>
      </c>
      <c r="K221" s="4">
        <v>30</v>
      </c>
      <c r="L221" s="6" t="s">
        <v>146</v>
      </c>
      <c r="M221" s="4"/>
      <c r="N221" s="4"/>
      <c r="O221" s="4"/>
      <c r="P221" s="12"/>
      <c r="Q221" s="4"/>
      <c r="R221" s="4"/>
      <c r="S221" s="4"/>
      <c r="T221" s="5"/>
      <c r="U221" s="4"/>
      <c r="V221" s="4"/>
      <c r="W221" s="4"/>
      <c r="X221" s="4"/>
      <c r="Y221" s="4"/>
      <c r="Z221" s="4"/>
    </row>
    <row r="222" spans="1:26" x14ac:dyDescent="0.35">
      <c r="A222" s="2"/>
      <c r="B222" s="8" t="s">
        <v>216</v>
      </c>
      <c r="C222" s="4" t="s">
        <v>23</v>
      </c>
      <c r="D222" s="4" t="s">
        <v>170</v>
      </c>
      <c r="E222" s="4" t="s">
        <v>171</v>
      </c>
      <c r="F222" s="4" t="s">
        <v>140</v>
      </c>
      <c r="G222" s="4" t="s">
        <v>172</v>
      </c>
      <c r="H222" s="5">
        <v>42670</v>
      </c>
      <c r="I222" s="24">
        <v>0.41666666666666669</v>
      </c>
      <c r="J222" s="25">
        <v>0.45833333333333337</v>
      </c>
      <c r="K222" s="4">
        <v>60</v>
      </c>
      <c r="L222" s="6" t="s">
        <v>163</v>
      </c>
      <c r="M222" s="4" t="s">
        <v>173</v>
      </c>
      <c r="N222" s="4">
        <v>1809821016</v>
      </c>
      <c r="O222" s="4" t="s">
        <v>44</v>
      </c>
      <c r="P222" s="12">
        <v>42654.455694444441</v>
      </c>
      <c r="Q222" s="4" t="s">
        <v>174</v>
      </c>
      <c r="R222" s="4" t="s">
        <v>163</v>
      </c>
      <c r="S222" s="4"/>
      <c r="T222" s="5">
        <v>42654</v>
      </c>
      <c r="U222" s="4" t="s">
        <v>164</v>
      </c>
      <c r="V222" s="4"/>
      <c r="W222" s="4"/>
      <c r="X222" s="4"/>
      <c r="Y222" s="4"/>
      <c r="Z222" s="4"/>
    </row>
    <row r="223" spans="1:26" x14ac:dyDescent="0.35">
      <c r="A223" s="7" t="s">
        <v>709</v>
      </c>
      <c r="B223" s="8" t="s">
        <v>48</v>
      </c>
      <c r="C223" s="4" t="s">
        <v>23</v>
      </c>
      <c r="D223" s="4" t="s">
        <v>383</v>
      </c>
      <c r="E223" s="4" t="s">
        <v>722</v>
      </c>
      <c r="F223" s="4" t="s">
        <v>723</v>
      </c>
      <c r="G223" s="4" t="s">
        <v>724</v>
      </c>
      <c r="H223" s="5">
        <v>42670</v>
      </c>
      <c r="I223" s="24">
        <v>0.41666666666666669</v>
      </c>
      <c r="J223" s="25">
        <v>0.4375</v>
      </c>
      <c r="K223" s="4">
        <v>30</v>
      </c>
      <c r="L223" s="6" t="s">
        <v>49</v>
      </c>
      <c r="M223" s="4" t="s">
        <v>50</v>
      </c>
      <c r="N223" s="4">
        <v>1809012853</v>
      </c>
      <c r="O223" s="4" t="s">
        <v>44</v>
      </c>
      <c r="P223" s="12">
        <v>42628.434317129628</v>
      </c>
      <c r="Q223" s="4" t="s">
        <v>725</v>
      </c>
      <c r="R223" s="4" t="s">
        <v>165</v>
      </c>
      <c r="S223" s="4"/>
      <c r="T223" s="5">
        <v>42628</v>
      </c>
      <c r="U223" s="4" t="s">
        <v>354</v>
      </c>
      <c r="V223" s="4"/>
      <c r="W223" s="4"/>
      <c r="X223" s="4"/>
      <c r="Y223" s="4"/>
      <c r="Z223" s="4"/>
    </row>
    <row r="224" spans="1:26" hidden="1" x14ac:dyDescent="0.35">
      <c r="A224" s="17"/>
      <c r="B224" s="10" t="s">
        <v>22</v>
      </c>
      <c r="C224" s="4" t="s">
        <v>23</v>
      </c>
      <c r="D224" s="4" t="s">
        <v>509</v>
      </c>
      <c r="E224" s="4" t="s">
        <v>510</v>
      </c>
      <c r="F224" s="4" t="s">
        <v>32</v>
      </c>
      <c r="G224" s="4" t="s">
        <v>511</v>
      </c>
      <c r="H224" s="5">
        <v>42670</v>
      </c>
      <c r="I224" s="25">
        <v>0.41666666666666669</v>
      </c>
      <c r="J224" s="25">
        <v>0.42708333333333331</v>
      </c>
      <c r="K224" s="4">
        <v>15</v>
      </c>
      <c r="L224" s="4" t="s">
        <v>25</v>
      </c>
      <c r="M224" s="4"/>
      <c r="N224" s="4"/>
      <c r="O224" s="4"/>
      <c r="P224" s="12"/>
      <c r="Q224" s="4"/>
      <c r="R224" s="4"/>
      <c r="S224" s="4"/>
      <c r="T224" s="5"/>
      <c r="U224" s="4"/>
      <c r="V224" s="4"/>
      <c r="W224" s="4"/>
      <c r="X224" s="4"/>
      <c r="Y224" s="4"/>
      <c r="Z224" s="4"/>
    </row>
    <row r="225" spans="1:26" hidden="1" x14ac:dyDescent="0.35">
      <c r="A225" s="9"/>
      <c r="B225" s="11" t="s">
        <v>103</v>
      </c>
      <c r="C225" s="4" t="s">
        <v>23</v>
      </c>
      <c r="D225" s="4" t="s">
        <v>98</v>
      </c>
      <c r="E225" s="4" t="s">
        <v>99</v>
      </c>
      <c r="F225" s="4" t="s">
        <v>100</v>
      </c>
      <c r="G225" s="4" t="s">
        <v>101</v>
      </c>
      <c r="H225" s="5">
        <v>42670</v>
      </c>
      <c r="I225" s="24">
        <v>0.41666666666666669</v>
      </c>
      <c r="J225" s="25">
        <v>0.42708333333333337</v>
      </c>
      <c r="K225" s="4">
        <v>15</v>
      </c>
      <c r="L225" s="6" t="s">
        <v>46</v>
      </c>
      <c r="M225" s="4" t="s">
        <v>47</v>
      </c>
      <c r="N225" s="4">
        <v>1810031489</v>
      </c>
      <c r="O225" s="4" t="s">
        <v>44</v>
      </c>
      <c r="P225" s="12">
        <v>42661.337071759262</v>
      </c>
      <c r="Q225" s="4"/>
      <c r="R225" s="4" t="s">
        <v>46</v>
      </c>
      <c r="S225" s="4"/>
      <c r="T225" s="5">
        <v>42661</v>
      </c>
      <c r="U225" s="4" t="s">
        <v>128</v>
      </c>
      <c r="V225" s="4"/>
      <c r="W225" s="4"/>
      <c r="X225" s="4"/>
      <c r="Y225" s="4"/>
      <c r="Z225" s="4"/>
    </row>
    <row r="226" spans="1:26" x14ac:dyDescent="0.35">
      <c r="A226" s="7" t="s">
        <v>28</v>
      </c>
      <c r="B226" s="8" t="s">
        <v>394</v>
      </c>
      <c r="C226" s="4" t="s">
        <v>23</v>
      </c>
      <c r="D226" s="4" t="s">
        <v>736</v>
      </c>
      <c r="E226" s="4" t="s">
        <v>737</v>
      </c>
      <c r="F226" s="4" t="s">
        <v>32</v>
      </c>
      <c r="G226" s="4" t="s">
        <v>738</v>
      </c>
      <c r="H226" s="5">
        <v>42670</v>
      </c>
      <c r="I226" s="25">
        <v>0.41666666666666669</v>
      </c>
      <c r="J226" s="25">
        <v>0.45833333333333331</v>
      </c>
      <c r="K226" s="4">
        <v>60</v>
      </c>
      <c r="L226" s="6" t="s">
        <v>146</v>
      </c>
      <c r="M226" s="4"/>
      <c r="N226" s="4"/>
      <c r="O226" s="4"/>
      <c r="P226" s="12"/>
      <c r="Q226" s="4"/>
      <c r="R226" s="4"/>
      <c r="S226" s="4"/>
      <c r="T226" s="5"/>
      <c r="U226" s="4"/>
      <c r="V226" s="4"/>
      <c r="W226" s="4"/>
      <c r="X226" s="4"/>
      <c r="Y226" s="4"/>
      <c r="Z226" s="4"/>
    </row>
    <row r="227" spans="1:26" x14ac:dyDescent="0.35">
      <c r="A227" s="9"/>
      <c r="B227" s="30" t="s">
        <v>474</v>
      </c>
      <c r="C227" s="4" t="s">
        <v>23</v>
      </c>
      <c r="D227" s="4" t="s">
        <v>730</v>
      </c>
      <c r="E227" s="4" t="s">
        <v>571</v>
      </c>
      <c r="F227" s="4" t="s">
        <v>114</v>
      </c>
      <c r="G227" s="4" t="s">
        <v>572</v>
      </c>
      <c r="H227" s="5">
        <v>42670</v>
      </c>
      <c r="I227" s="25">
        <v>0.41666666666666669</v>
      </c>
      <c r="J227" s="25">
        <v>0.45833333333333337</v>
      </c>
      <c r="K227" s="4">
        <v>60</v>
      </c>
      <c r="L227" s="4" t="s">
        <v>167</v>
      </c>
      <c r="M227" s="4" t="s">
        <v>597</v>
      </c>
      <c r="N227" s="4">
        <v>1810120678</v>
      </c>
      <c r="O227" s="4" t="s">
        <v>399</v>
      </c>
      <c r="P227" s="12">
        <v>42668.666273148148</v>
      </c>
      <c r="Q227" s="4"/>
      <c r="R227" s="4" t="s">
        <v>201</v>
      </c>
      <c r="S227" s="4" t="s">
        <v>51</v>
      </c>
      <c r="T227" s="5">
        <v>42663</v>
      </c>
      <c r="U227" s="4" t="s">
        <v>263</v>
      </c>
      <c r="V227" s="4" t="s">
        <v>17</v>
      </c>
      <c r="W227" s="4"/>
      <c r="X227" s="4"/>
      <c r="Y227" s="4"/>
      <c r="Z227" s="4"/>
    </row>
    <row r="228" spans="1:26" hidden="1" x14ac:dyDescent="0.35">
      <c r="A228" s="18"/>
      <c r="B228" s="10" t="s">
        <v>103</v>
      </c>
      <c r="C228" s="4" t="s">
        <v>23</v>
      </c>
      <c r="D228" s="4" t="s">
        <v>87</v>
      </c>
      <c r="E228" s="4" t="s">
        <v>88</v>
      </c>
      <c r="F228" s="4" t="s">
        <v>89</v>
      </c>
      <c r="G228" s="4" t="s">
        <v>90</v>
      </c>
      <c r="H228" s="5">
        <v>42670</v>
      </c>
      <c r="I228" s="25">
        <v>0.42708333333333331</v>
      </c>
      <c r="J228" s="25">
        <v>0.44791666666666669</v>
      </c>
      <c r="K228" s="4">
        <v>30</v>
      </c>
      <c r="L228" s="6" t="s">
        <v>290</v>
      </c>
      <c r="M228" s="4"/>
      <c r="N228" s="4"/>
      <c r="O228" s="4"/>
      <c r="P228" s="12"/>
      <c r="Q228" s="4"/>
      <c r="R228" s="4"/>
      <c r="S228" s="4"/>
      <c r="T228" s="5"/>
      <c r="U228" s="4"/>
      <c r="V228" s="4"/>
      <c r="W228" s="4"/>
      <c r="X228" s="4"/>
      <c r="Y228" s="4"/>
      <c r="Z228" s="4"/>
    </row>
    <row r="229" spans="1:26" x14ac:dyDescent="0.35">
      <c r="A229" s="7" t="s">
        <v>536</v>
      </c>
      <c r="B229" s="8" t="s">
        <v>373</v>
      </c>
      <c r="C229" s="4" t="s">
        <v>23</v>
      </c>
      <c r="D229" s="4" t="s">
        <v>739</v>
      </c>
      <c r="E229" s="4" t="s">
        <v>740</v>
      </c>
      <c r="F229" s="4" t="s">
        <v>32</v>
      </c>
      <c r="G229" s="4" t="s">
        <v>741</v>
      </c>
      <c r="H229" s="5">
        <v>42670</v>
      </c>
      <c r="I229" s="24">
        <v>0.43055555555555558</v>
      </c>
      <c r="J229" s="25">
        <v>0.45833333333333337</v>
      </c>
      <c r="K229" s="4">
        <v>40</v>
      </c>
      <c r="L229" s="14" t="s">
        <v>59</v>
      </c>
      <c r="M229" s="4" t="s">
        <v>280</v>
      </c>
      <c r="N229" s="4">
        <v>1809289605</v>
      </c>
      <c r="O229" s="4" t="s">
        <v>44</v>
      </c>
      <c r="P229" s="12">
        <v>42636.607349537036</v>
      </c>
      <c r="Q229" s="4" t="s">
        <v>742</v>
      </c>
      <c r="R229" s="4" t="s">
        <v>61</v>
      </c>
      <c r="S229" s="4"/>
      <c r="T229" s="5">
        <v>42636</v>
      </c>
      <c r="U229" s="4" t="s">
        <v>281</v>
      </c>
      <c r="V229" s="4"/>
      <c r="W229" s="4"/>
      <c r="X229" s="4"/>
      <c r="Y229" s="4"/>
      <c r="Z229" s="4"/>
    </row>
    <row r="230" spans="1:26" x14ac:dyDescent="0.35">
      <c r="A230" s="9"/>
      <c r="B230" s="8" t="s">
        <v>217</v>
      </c>
      <c r="C230" s="4" t="s">
        <v>23</v>
      </c>
      <c r="D230" s="4" t="s">
        <v>365</v>
      </c>
      <c r="E230" s="4" t="s">
        <v>366</v>
      </c>
      <c r="F230" s="4" t="s">
        <v>114</v>
      </c>
      <c r="G230" s="4" t="s">
        <v>367</v>
      </c>
      <c r="H230" s="5">
        <v>42670</v>
      </c>
      <c r="I230" s="25">
        <v>0.4375</v>
      </c>
      <c r="J230" s="25">
        <v>0.5</v>
      </c>
      <c r="K230" s="4">
        <v>90</v>
      </c>
      <c r="L230" s="4" t="s">
        <v>26</v>
      </c>
      <c r="M230" s="4" t="s">
        <v>192</v>
      </c>
      <c r="N230" s="4">
        <v>1810178452</v>
      </c>
      <c r="O230" s="4" t="s">
        <v>44</v>
      </c>
      <c r="P230" s="12">
        <v>42664.501481481479</v>
      </c>
      <c r="Q230" s="4" t="s">
        <v>368</v>
      </c>
      <c r="R230" s="4" t="s">
        <v>27</v>
      </c>
      <c r="S230" s="4"/>
      <c r="T230" s="5">
        <v>42664</v>
      </c>
      <c r="U230" s="4" t="s">
        <v>377</v>
      </c>
      <c r="V230" s="4"/>
      <c r="W230" s="4"/>
      <c r="X230" s="4"/>
      <c r="Y230" s="4"/>
      <c r="Z230" s="4"/>
    </row>
    <row r="231" spans="1:26" hidden="1" x14ac:dyDescent="0.35">
      <c r="A231" s="9"/>
      <c r="B231" s="3" t="s">
        <v>22</v>
      </c>
      <c r="C231" s="4" t="s">
        <v>23</v>
      </c>
      <c r="D231" s="4" t="s">
        <v>30</v>
      </c>
      <c r="E231" s="4" t="s">
        <v>31</v>
      </c>
      <c r="F231" s="4" t="s">
        <v>32</v>
      </c>
      <c r="G231" s="4" t="s">
        <v>33</v>
      </c>
      <c r="H231" s="5">
        <v>42670</v>
      </c>
      <c r="I231" s="25">
        <v>0.4375</v>
      </c>
      <c r="J231" s="25">
        <v>0.44791666666666669</v>
      </c>
      <c r="K231" s="4">
        <v>15</v>
      </c>
      <c r="L231" s="4" t="s">
        <v>25</v>
      </c>
      <c r="M231" s="4" t="s">
        <v>361</v>
      </c>
      <c r="N231" s="4">
        <v>1810034157</v>
      </c>
      <c r="O231" s="4" t="s">
        <v>44</v>
      </c>
      <c r="P231" s="12">
        <v>42661.375069444446</v>
      </c>
      <c r="Q231" s="4" t="s">
        <v>35</v>
      </c>
      <c r="R231" s="4" t="s">
        <v>25</v>
      </c>
      <c r="S231" s="4"/>
      <c r="T231" s="5">
        <v>42661</v>
      </c>
      <c r="U231" s="4" t="s">
        <v>69</v>
      </c>
      <c r="V231" s="4"/>
      <c r="W231" s="4"/>
      <c r="X231" s="4"/>
      <c r="Y231" s="4"/>
      <c r="Z231" s="4"/>
    </row>
    <row r="232" spans="1:26" x14ac:dyDescent="0.35">
      <c r="A232" s="7"/>
      <c r="B232" s="8" t="s">
        <v>123</v>
      </c>
      <c r="C232" s="4" t="s">
        <v>23</v>
      </c>
      <c r="D232" s="4" t="s">
        <v>454</v>
      </c>
      <c r="E232" s="4" t="s">
        <v>732</v>
      </c>
      <c r="F232" s="4" t="s">
        <v>114</v>
      </c>
      <c r="G232" s="4" t="s">
        <v>733</v>
      </c>
      <c r="H232" s="5">
        <v>42670</v>
      </c>
      <c r="I232" s="25">
        <v>0.4375</v>
      </c>
      <c r="J232" s="25">
        <v>0.45833333333333331</v>
      </c>
      <c r="K232" s="4">
        <v>30</v>
      </c>
      <c r="L232" s="4" t="s">
        <v>179</v>
      </c>
      <c r="M232" s="4"/>
      <c r="N232" s="4"/>
      <c r="O232" s="4"/>
      <c r="P232" s="12"/>
      <c r="Q232" s="4"/>
      <c r="R232" s="4"/>
      <c r="S232" s="4"/>
      <c r="T232" s="5"/>
      <c r="U232" s="4"/>
      <c r="V232" s="4"/>
      <c r="W232" s="4"/>
      <c r="X232" s="4"/>
      <c r="Y232" s="4"/>
      <c r="Z232" s="4"/>
    </row>
    <row r="233" spans="1:26" x14ac:dyDescent="0.35">
      <c r="A233" s="7" t="s">
        <v>324</v>
      </c>
      <c r="B233" s="8" t="s">
        <v>184</v>
      </c>
      <c r="C233" s="4" t="s">
        <v>23</v>
      </c>
      <c r="D233" s="4" t="s">
        <v>509</v>
      </c>
      <c r="E233" s="4" t="s">
        <v>510</v>
      </c>
      <c r="F233" s="4" t="s">
        <v>32</v>
      </c>
      <c r="G233" s="4" t="s">
        <v>511</v>
      </c>
      <c r="H233" s="5">
        <v>42670</v>
      </c>
      <c r="I233" s="24">
        <v>0.45833333333333331</v>
      </c>
      <c r="J233" s="25">
        <v>0.47916666666666663</v>
      </c>
      <c r="K233" s="4">
        <v>30</v>
      </c>
      <c r="L233" s="6" t="s">
        <v>179</v>
      </c>
      <c r="M233" s="4" t="s">
        <v>50</v>
      </c>
      <c r="N233" s="4">
        <v>1809076467</v>
      </c>
      <c r="O233" s="4" t="s">
        <v>44</v>
      </c>
      <c r="P233" s="12">
        <v>42629.658773148149</v>
      </c>
      <c r="Q233" s="4" t="s">
        <v>512</v>
      </c>
      <c r="R233" s="4" t="s">
        <v>202</v>
      </c>
      <c r="S233" s="4"/>
      <c r="T233" s="5">
        <v>42629</v>
      </c>
      <c r="U233" s="4" t="s">
        <v>277</v>
      </c>
      <c r="V233" s="4"/>
      <c r="W233" s="4"/>
      <c r="X233" s="4"/>
      <c r="Y233" s="4"/>
      <c r="Z233" s="4"/>
    </row>
    <row r="234" spans="1:26" x14ac:dyDescent="0.35">
      <c r="A234" s="2"/>
      <c r="B234" s="8" t="s">
        <v>70</v>
      </c>
      <c r="C234" s="4" t="s">
        <v>23</v>
      </c>
      <c r="D234" s="4" t="s">
        <v>355</v>
      </c>
      <c r="E234" s="4" t="s">
        <v>356</v>
      </c>
      <c r="F234" s="4" t="s">
        <v>24</v>
      </c>
      <c r="G234" s="4" t="s">
        <v>357</v>
      </c>
      <c r="H234" s="5">
        <v>42670</v>
      </c>
      <c r="I234" s="24">
        <v>0.45833333333333331</v>
      </c>
      <c r="J234" s="25">
        <v>0.47916666666666663</v>
      </c>
      <c r="K234" s="4">
        <v>30</v>
      </c>
      <c r="L234" s="6" t="s">
        <v>156</v>
      </c>
      <c r="M234" s="4" t="s">
        <v>269</v>
      </c>
      <c r="N234" s="4">
        <v>1809884091</v>
      </c>
      <c r="O234" s="4" t="s">
        <v>44</v>
      </c>
      <c r="P234" s="12">
        <v>42655.593981481485</v>
      </c>
      <c r="Q234" s="4" t="s">
        <v>358</v>
      </c>
      <c r="R234" s="4" t="s">
        <v>157</v>
      </c>
      <c r="S234" s="4"/>
      <c r="T234" s="5">
        <v>42655</v>
      </c>
      <c r="U234" s="4" t="s">
        <v>370</v>
      </c>
      <c r="V234" s="4"/>
      <c r="W234" s="4"/>
      <c r="X234" s="4"/>
      <c r="Y234" s="4"/>
      <c r="Z234" s="4"/>
    </row>
    <row r="235" spans="1:26" hidden="1" x14ac:dyDescent="0.35">
      <c r="A235" s="9"/>
      <c r="B235" s="26" t="s">
        <v>52</v>
      </c>
      <c r="C235" s="4" t="s">
        <v>23</v>
      </c>
      <c r="D235" s="4" t="s">
        <v>98</v>
      </c>
      <c r="E235" s="4" t="s">
        <v>99</v>
      </c>
      <c r="F235" s="4" t="s">
        <v>100</v>
      </c>
      <c r="G235" s="4" t="s">
        <v>101</v>
      </c>
      <c r="H235" s="5">
        <v>42670</v>
      </c>
      <c r="I235" s="24">
        <v>0.45833333333333331</v>
      </c>
      <c r="J235" s="25">
        <v>0.5</v>
      </c>
      <c r="K235" s="4">
        <v>60</v>
      </c>
      <c r="L235" s="6" t="s">
        <v>149</v>
      </c>
      <c r="M235" s="4" t="s">
        <v>150</v>
      </c>
      <c r="N235" s="4">
        <v>1810005539</v>
      </c>
      <c r="O235" s="4" t="s">
        <v>44</v>
      </c>
      <c r="P235" s="12">
        <v>42660.509780092594</v>
      </c>
      <c r="Q235" s="4"/>
      <c r="R235" s="4" t="s">
        <v>151</v>
      </c>
      <c r="S235" s="4" t="s">
        <v>360</v>
      </c>
      <c r="T235" s="5">
        <v>42660</v>
      </c>
      <c r="U235" s="4" t="s">
        <v>102</v>
      </c>
      <c r="V235" s="4" t="s">
        <v>17</v>
      </c>
      <c r="W235" s="4"/>
      <c r="X235" s="4"/>
      <c r="Y235" s="4"/>
      <c r="Z235" s="4"/>
    </row>
    <row r="236" spans="1:26" x14ac:dyDescent="0.35">
      <c r="A236" s="7" t="s">
        <v>28</v>
      </c>
      <c r="B236" s="8" t="s">
        <v>394</v>
      </c>
      <c r="C236" s="4" t="s">
        <v>23</v>
      </c>
      <c r="D236" s="4" t="s">
        <v>736</v>
      </c>
      <c r="E236" s="4" t="s">
        <v>737</v>
      </c>
      <c r="F236" s="4" t="s">
        <v>32</v>
      </c>
      <c r="G236" s="4" t="s">
        <v>738</v>
      </c>
      <c r="H236" s="5">
        <v>42670</v>
      </c>
      <c r="I236" s="25">
        <v>0.45833333333333331</v>
      </c>
      <c r="J236" s="25">
        <v>0.47916666666666669</v>
      </c>
      <c r="K236" s="4">
        <v>30</v>
      </c>
      <c r="L236" s="6" t="s">
        <v>146</v>
      </c>
      <c r="M236" s="4"/>
      <c r="N236" s="4"/>
      <c r="O236" s="4"/>
      <c r="P236" s="12"/>
      <c r="Q236" s="4"/>
      <c r="R236" s="4"/>
      <c r="S236" s="4"/>
      <c r="T236" s="5"/>
      <c r="U236" s="4"/>
      <c r="V236" s="4"/>
      <c r="W236" s="4"/>
      <c r="X236" s="4"/>
      <c r="Y236" s="4"/>
      <c r="Z236" s="4"/>
    </row>
    <row r="237" spans="1:26" x14ac:dyDescent="0.35">
      <c r="A237" s="22"/>
      <c r="B237" s="30" t="s">
        <v>474</v>
      </c>
      <c r="C237" s="4" t="s">
        <v>23</v>
      </c>
      <c r="D237" s="4" t="s">
        <v>383</v>
      </c>
      <c r="E237" s="4" t="s">
        <v>405</v>
      </c>
      <c r="F237" s="4" t="s">
        <v>114</v>
      </c>
      <c r="G237" s="4" t="s">
        <v>406</v>
      </c>
      <c r="H237" s="5">
        <v>42670</v>
      </c>
      <c r="I237" s="24">
        <v>0.45833333333333331</v>
      </c>
      <c r="J237" s="25">
        <v>0.47916666666666663</v>
      </c>
      <c r="K237" s="4">
        <v>30</v>
      </c>
      <c r="L237" s="6" t="s">
        <v>156</v>
      </c>
      <c r="M237" s="4" t="s">
        <v>50</v>
      </c>
      <c r="N237" s="4">
        <v>1809652655</v>
      </c>
      <c r="O237" s="4" t="s">
        <v>44</v>
      </c>
      <c r="P237" s="12">
        <v>42648.661435185182</v>
      </c>
      <c r="Q237" s="4" t="s">
        <v>407</v>
      </c>
      <c r="R237" s="4" t="s">
        <v>157</v>
      </c>
      <c r="S237" s="4"/>
      <c r="T237" s="5">
        <v>42648</v>
      </c>
      <c r="U237" s="4" t="s">
        <v>248</v>
      </c>
      <c r="V237" s="4"/>
      <c r="W237" s="4"/>
      <c r="X237" s="4"/>
      <c r="Y237" s="4"/>
      <c r="Z237" s="4"/>
    </row>
    <row r="238" spans="1:26" x14ac:dyDescent="0.35">
      <c r="A238" s="7" t="s">
        <v>709</v>
      </c>
      <c r="B238" s="8" t="s">
        <v>48</v>
      </c>
      <c r="C238" s="4" t="s">
        <v>23</v>
      </c>
      <c r="D238" s="4" t="s">
        <v>383</v>
      </c>
      <c r="E238" s="4" t="s">
        <v>722</v>
      </c>
      <c r="F238" s="4" t="s">
        <v>723</v>
      </c>
      <c r="G238" s="4" t="s">
        <v>724</v>
      </c>
      <c r="H238" s="5">
        <v>42670</v>
      </c>
      <c r="I238" s="24">
        <v>0.47916666666666669</v>
      </c>
      <c r="J238" s="25">
        <v>0.54166666666666674</v>
      </c>
      <c r="K238" s="4">
        <v>90</v>
      </c>
      <c r="L238" s="6" t="s">
        <v>26</v>
      </c>
      <c r="M238" s="4" t="s">
        <v>192</v>
      </c>
      <c r="N238" s="4">
        <v>1809012937</v>
      </c>
      <c r="O238" s="4" t="s">
        <v>44</v>
      </c>
      <c r="P238" s="12">
        <v>42628.435023148151</v>
      </c>
      <c r="Q238" s="4" t="s">
        <v>725</v>
      </c>
      <c r="R238" s="4" t="s">
        <v>27</v>
      </c>
      <c r="S238" s="4"/>
      <c r="T238" s="5">
        <v>42628</v>
      </c>
      <c r="U238" s="4" t="s">
        <v>354</v>
      </c>
      <c r="V238" s="4"/>
      <c r="W238" s="4"/>
      <c r="X238" s="4"/>
      <c r="Y238" s="4"/>
      <c r="Z238" s="4"/>
    </row>
    <row r="239" spans="1:26" x14ac:dyDescent="0.35">
      <c r="A239" s="7"/>
      <c r="B239" s="8" t="s">
        <v>123</v>
      </c>
      <c r="C239" s="4" t="s">
        <v>23</v>
      </c>
      <c r="D239" s="4" t="s">
        <v>454</v>
      </c>
      <c r="E239" s="4" t="s">
        <v>732</v>
      </c>
      <c r="F239" s="4" t="s">
        <v>114</v>
      </c>
      <c r="G239" s="4" t="s">
        <v>733</v>
      </c>
      <c r="H239" s="5">
        <v>42670</v>
      </c>
      <c r="I239" s="25">
        <v>0.47916666666666669</v>
      </c>
      <c r="J239" s="25">
        <v>0.72916666666666663</v>
      </c>
      <c r="K239" s="4">
        <v>360</v>
      </c>
      <c r="L239" s="4" t="s">
        <v>26</v>
      </c>
      <c r="M239" s="4"/>
      <c r="N239" s="4"/>
      <c r="O239" s="4"/>
      <c r="P239" s="12"/>
      <c r="Q239" s="4"/>
      <c r="R239" s="4"/>
      <c r="S239" s="4"/>
      <c r="T239" s="5"/>
      <c r="U239" s="4"/>
      <c r="V239" s="4"/>
      <c r="W239" s="4"/>
      <c r="X239" s="4"/>
      <c r="Y239" s="4"/>
      <c r="Z239" s="4"/>
    </row>
    <row r="240" spans="1:26" x14ac:dyDescent="0.35">
      <c r="A240" s="9"/>
      <c r="B240" s="8" t="s">
        <v>161</v>
      </c>
      <c r="C240" s="4" t="s">
        <v>23</v>
      </c>
      <c r="D240" s="4" t="s">
        <v>242</v>
      </c>
      <c r="E240" s="4" t="s">
        <v>384</v>
      </c>
      <c r="F240" s="4" t="s">
        <v>162</v>
      </c>
      <c r="G240" s="4" t="s">
        <v>385</v>
      </c>
      <c r="H240" s="5">
        <v>42670</v>
      </c>
      <c r="I240" s="25">
        <v>0.5</v>
      </c>
      <c r="J240" s="25">
        <v>0.54166666666666663</v>
      </c>
      <c r="K240" s="4">
        <v>60</v>
      </c>
      <c r="L240" s="4" t="s">
        <v>26</v>
      </c>
      <c r="M240" s="4" t="s">
        <v>596</v>
      </c>
      <c r="N240" s="4">
        <v>1810237902</v>
      </c>
      <c r="O240" s="4" t="s">
        <v>44</v>
      </c>
      <c r="P240" s="12">
        <v>42667.539201388892</v>
      </c>
      <c r="Q240" s="4" t="s">
        <v>386</v>
      </c>
      <c r="R240" s="4" t="s">
        <v>27</v>
      </c>
      <c r="S240" s="4"/>
      <c r="T240" s="5">
        <v>42667</v>
      </c>
      <c r="U240" s="4" t="s">
        <v>382</v>
      </c>
      <c r="V240" s="4"/>
      <c r="W240" s="4"/>
      <c r="X240" s="4"/>
      <c r="Y240" s="4"/>
      <c r="Z240" s="4"/>
    </row>
    <row r="241" spans="1:26" hidden="1" x14ac:dyDescent="0.35">
      <c r="A241" s="9"/>
      <c r="B241" s="3" t="s">
        <v>22</v>
      </c>
      <c r="C241" s="4" t="s">
        <v>23</v>
      </c>
      <c r="D241" s="4" t="s">
        <v>458</v>
      </c>
      <c r="E241" s="4" t="s">
        <v>459</v>
      </c>
      <c r="F241" s="4" t="s">
        <v>24</v>
      </c>
      <c r="G241" s="4" t="s">
        <v>267</v>
      </c>
      <c r="H241" s="5">
        <v>42670</v>
      </c>
      <c r="I241" s="25">
        <v>0.51041666666666663</v>
      </c>
      <c r="J241" s="25">
        <v>0.52083333333333326</v>
      </c>
      <c r="K241" s="4">
        <v>15</v>
      </c>
      <c r="L241" s="4" t="s">
        <v>25</v>
      </c>
      <c r="M241" s="4" t="s">
        <v>361</v>
      </c>
      <c r="N241" s="4">
        <v>1810089590</v>
      </c>
      <c r="O241" s="4" t="s">
        <v>399</v>
      </c>
      <c r="P241" s="12">
        <v>42662.470810185187</v>
      </c>
      <c r="Q241" s="4"/>
      <c r="R241" s="4" t="s">
        <v>25</v>
      </c>
      <c r="S241" s="4" t="s">
        <v>117</v>
      </c>
      <c r="T241" s="5">
        <v>42662</v>
      </c>
      <c r="U241" s="4" t="s">
        <v>128</v>
      </c>
      <c r="V241" s="4" t="s">
        <v>17</v>
      </c>
      <c r="W241" s="4"/>
      <c r="X241" s="4"/>
      <c r="Y241" s="4"/>
      <c r="Z241" s="4"/>
    </row>
    <row r="242" spans="1:26" x14ac:dyDescent="0.35">
      <c r="A242" s="7" t="s">
        <v>324</v>
      </c>
      <c r="B242" s="8" t="s">
        <v>184</v>
      </c>
      <c r="C242" s="4" t="s">
        <v>23</v>
      </c>
      <c r="D242" s="4" t="s">
        <v>509</v>
      </c>
      <c r="E242" s="4" t="s">
        <v>510</v>
      </c>
      <c r="F242" s="4" t="s">
        <v>32</v>
      </c>
      <c r="G242" s="4" t="s">
        <v>511</v>
      </c>
      <c r="H242" s="5">
        <v>42670</v>
      </c>
      <c r="I242" s="24">
        <v>0.52083333333333337</v>
      </c>
      <c r="J242" s="25">
        <v>0.58333333333333337</v>
      </c>
      <c r="K242" s="4">
        <v>90</v>
      </c>
      <c r="L242" s="6" t="s">
        <v>26</v>
      </c>
      <c r="M242" s="4" t="s">
        <v>192</v>
      </c>
      <c r="N242" s="4">
        <v>1809076241</v>
      </c>
      <c r="O242" s="4" t="s">
        <v>44</v>
      </c>
      <c r="P242" s="12">
        <v>42629.656030092592</v>
      </c>
      <c r="Q242" s="4" t="s">
        <v>512</v>
      </c>
      <c r="R242" s="4" t="s">
        <v>27</v>
      </c>
      <c r="S242" s="4"/>
      <c r="T242" s="5">
        <v>42629</v>
      </c>
      <c r="U242" s="4" t="s">
        <v>277</v>
      </c>
      <c r="V242" s="4"/>
      <c r="W242" s="4"/>
      <c r="X242" s="4"/>
      <c r="Y242" s="4"/>
      <c r="Z242" s="4"/>
    </row>
    <row r="243" spans="1:26" x14ac:dyDescent="0.35">
      <c r="A243" s="9"/>
      <c r="B243" s="8" t="s">
        <v>379</v>
      </c>
      <c r="C243" s="4" t="s">
        <v>23</v>
      </c>
      <c r="D243" s="4" t="s">
        <v>337</v>
      </c>
      <c r="E243" s="4" t="s">
        <v>338</v>
      </c>
      <c r="F243" s="4" t="s">
        <v>32</v>
      </c>
      <c r="G243" s="4" t="s">
        <v>339</v>
      </c>
      <c r="H243" s="5">
        <v>42670</v>
      </c>
      <c r="I243" s="24">
        <v>0.52777777777777779</v>
      </c>
      <c r="J243" s="25">
        <v>0.63194444444444442</v>
      </c>
      <c r="K243" s="4">
        <v>150</v>
      </c>
      <c r="L243" s="6" t="s">
        <v>115</v>
      </c>
      <c r="M243" s="4" t="s">
        <v>228</v>
      </c>
      <c r="N243" s="4"/>
      <c r="O243" s="4"/>
      <c r="P243" s="12"/>
      <c r="Q243" s="4"/>
      <c r="R243" s="4"/>
      <c r="S243" s="4"/>
      <c r="T243" s="5"/>
      <c r="U243" s="4"/>
      <c r="V243" s="4"/>
      <c r="W243" s="4"/>
      <c r="X243" s="4"/>
      <c r="Y243" s="4"/>
      <c r="Z243" s="4"/>
    </row>
    <row r="244" spans="1:26" hidden="1" x14ac:dyDescent="0.35">
      <c r="A244" s="7"/>
      <c r="B244" s="10" t="s">
        <v>22</v>
      </c>
      <c r="C244" s="4" t="s">
        <v>23</v>
      </c>
      <c r="D244" s="4" t="s">
        <v>743</v>
      </c>
      <c r="E244" s="4" t="s">
        <v>444</v>
      </c>
      <c r="F244" s="4" t="s">
        <v>32</v>
      </c>
      <c r="G244" s="4" t="s">
        <v>744</v>
      </c>
      <c r="H244" s="5">
        <v>42670</v>
      </c>
      <c r="I244" s="24">
        <v>0.53125</v>
      </c>
      <c r="J244" s="25">
        <v>0.55208333333333337</v>
      </c>
      <c r="K244" s="4">
        <v>30</v>
      </c>
      <c r="L244" s="4" t="s">
        <v>181</v>
      </c>
      <c r="M244" s="4"/>
      <c r="N244" s="4"/>
      <c r="O244" s="4"/>
      <c r="P244" s="12"/>
      <c r="Q244" s="4"/>
      <c r="R244" s="4"/>
      <c r="S244" s="4"/>
      <c r="T244" s="5"/>
      <c r="U244" s="4"/>
      <c r="V244" s="4"/>
      <c r="W244" s="4"/>
      <c r="X244" s="4"/>
      <c r="Y244" s="4"/>
      <c r="Z244" s="4"/>
    </row>
    <row r="245" spans="1:26" x14ac:dyDescent="0.35">
      <c r="A245" s="9"/>
      <c r="B245" s="30" t="s">
        <v>474</v>
      </c>
      <c r="C245" s="4" t="s">
        <v>23</v>
      </c>
      <c r="D245" s="4" t="s">
        <v>730</v>
      </c>
      <c r="E245" s="4" t="s">
        <v>571</v>
      </c>
      <c r="F245" s="4" t="s">
        <v>114</v>
      </c>
      <c r="G245" s="4" t="s">
        <v>572</v>
      </c>
      <c r="H245" s="5">
        <v>42670</v>
      </c>
      <c r="I245" s="25">
        <v>0.53125</v>
      </c>
      <c r="J245" s="25">
        <v>0.58333333333333337</v>
      </c>
      <c r="K245" s="4">
        <v>75</v>
      </c>
      <c r="L245" s="4" t="s">
        <v>167</v>
      </c>
      <c r="M245" s="4"/>
      <c r="N245" s="4"/>
      <c r="O245" s="4"/>
      <c r="P245" s="12"/>
      <c r="Q245" s="4"/>
      <c r="R245" s="4"/>
      <c r="S245" s="4"/>
      <c r="T245" s="5"/>
      <c r="U245" s="4"/>
      <c r="V245" s="4"/>
      <c r="W245" s="4"/>
      <c r="X245" s="4"/>
      <c r="Y245" s="4"/>
      <c r="Z245" s="4"/>
    </row>
    <row r="246" spans="1:26" x14ac:dyDescent="0.35">
      <c r="A246" s="9"/>
      <c r="B246" s="8" t="s">
        <v>57</v>
      </c>
      <c r="C246" s="4" t="s">
        <v>23</v>
      </c>
      <c r="D246" s="4" t="s">
        <v>458</v>
      </c>
      <c r="E246" s="4" t="s">
        <v>459</v>
      </c>
      <c r="F246" s="4" t="s">
        <v>24</v>
      </c>
      <c r="G246" s="4" t="s">
        <v>267</v>
      </c>
      <c r="H246" s="5">
        <v>42670</v>
      </c>
      <c r="I246" s="25">
        <v>0.54166666666666663</v>
      </c>
      <c r="J246" s="25">
        <v>0.58333333333333337</v>
      </c>
      <c r="K246" s="4">
        <v>60</v>
      </c>
      <c r="L246" s="4" t="s">
        <v>110</v>
      </c>
      <c r="M246" s="4"/>
      <c r="N246" s="4"/>
      <c r="O246" s="4"/>
      <c r="P246" s="12"/>
      <c r="Q246" s="4"/>
      <c r="R246" s="4"/>
      <c r="S246" s="4"/>
      <c r="T246" s="5"/>
      <c r="U246" s="4"/>
      <c r="V246" s="4"/>
      <c r="W246" s="4"/>
      <c r="X246" s="4"/>
      <c r="Y246" s="4"/>
      <c r="Z246" s="4"/>
    </row>
    <row r="247" spans="1:26" x14ac:dyDescent="0.35">
      <c r="A247" s="9"/>
      <c r="B247" s="8" t="s">
        <v>217</v>
      </c>
      <c r="C247" s="4" t="s">
        <v>23</v>
      </c>
      <c r="D247" s="4" t="s">
        <v>143</v>
      </c>
      <c r="E247" s="4" t="s">
        <v>745</v>
      </c>
      <c r="F247" s="4" t="s">
        <v>114</v>
      </c>
      <c r="G247" s="4" t="s">
        <v>746</v>
      </c>
      <c r="H247" s="5">
        <v>42670</v>
      </c>
      <c r="I247" s="24">
        <v>0.55208333333333337</v>
      </c>
      <c r="J247" s="25">
        <v>0.5625</v>
      </c>
      <c r="K247" s="4">
        <v>15</v>
      </c>
      <c r="L247" s="6" t="s">
        <v>138</v>
      </c>
      <c r="M247" s="4" t="s">
        <v>243</v>
      </c>
      <c r="N247" s="4">
        <v>1810022895</v>
      </c>
      <c r="O247" s="4" t="s">
        <v>44</v>
      </c>
      <c r="P247" s="12">
        <v>42660.670312499999</v>
      </c>
      <c r="Q247" s="4"/>
      <c r="R247" s="4" t="s">
        <v>138</v>
      </c>
      <c r="S247" s="4"/>
      <c r="T247" s="5">
        <v>42660</v>
      </c>
      <c r="U247" s="4" t="s">
        <v>625</v>
      </c>
      <c r="V247" s="4"/>
      <c r="W247" s="4"/>
      <c r="X247" s="4"/>
      <c r="Y247" s="4"/>
      <c r="Z247" s="4"/>
    </row>
    <row r="248" spans="1:26" hidden="1" x14ac:dyDescent="0.35">
      <c r="A248" s="2"/>
      <c r="B248" s="3" t="s">
        <v>22</v>
      </c>
      <c r="C248" s="4" t="s">
        <v>23</v>
      </c>
      <c r="D248" s="4" t="s">
        <v>362</v>
      </c>
      <c r="E248" s="4" t="s">
        <v>283</v>
      </c>
      <c r="F248" s="4" t="s">
        <v>24</v>
      </c>
      <c r="G248" s="4" t="s">
        <v>363</v>
      </c>
      <c r="H248" s="5">
        <v>42670</v>
      </c>
      <c r="I248" s="24">
        <v>0.55555555555555558</v>
      </c>
      <c r="J248" s="25">
        <v>0.56944444444444442</v>
      </c>
      <c r="K248" s="4">
        <v>20</v>
      </c>
      <c r="L248" s="6" t="s">
        <v>42</v>
      </c>
      <c r="M248" s="4" t="s">
        <v>43</v>
      </c>
      <c r="N248" s="4">
        <v>1809031332</v>
      </c>
      <c r="O248" s="4" t="s">
        <v>44</v>
      </c>
      <c r="P248" s="12">
        <v>42628.618472222224</v>
      </c>
      <c r="Q248" s="4" t="s">
        <v>364</v>
      </c>
      <c r="R248" s="4" t="s">
        <v>42</v>
      </c>
      <c r="S248" s="4"/>
      <c r="T248" s="5">
        <v>42628</v>
      </c>
      <c r="U248" s="4" t="s">
        <v>354</v>
      </c>
      <c r="V248" s="4"/>
      <c r="W248" s="4"/>
      <c r="X248" s="4"/>
      <c r="Y248" s="4"/>
      <c r="Z248" s="4"/>
    </row>
    <row r="249" spans="1:26" hidden="1" x14ac:dyDescent="0.35">
      <c r="A249" s="9"/>
      <c r="B249" s="10" t="s">
        <v>22</v>
      </c>
      <c r="C249" s="4" t="s">
        <v>23</v>
      </c>
      <c r="D249" s="4" t="s">
        <v>747</v>
      </c>
      <c r="E249" s="4" t="s">
        <v>748</v>
      </c>
      <c r="F249" s="4" t="s">
        <v>24</v>
      </c>
      <c r="G249" s="4" t="s">
        <v>749</v>
      </c>
      <c r="H249" s="5">
        <v>42670</v>
      </c>
      <c r="I249" s="25">
        <v>0.55902777777777779</v>
      </c>
      <c r="J249" s="25">
        <v>0.57986111111111105</v>
      </c>
      <c r="K249" s="4">
        <v>30</v>
      </c>
      <c r="L249" s="4" t="s">
        <v>181</v>
      </c>
      <c r="M249" s="4" t="s">
        <v>182</v>
      </c>
      <c r="N249" s="4">
        <v>1810104998</v>
      </c>
      <c r="O249" s="4" t="s">
        <v>44</v>
      </c>
      <c r="P249" s="12">
        <v>42662.615034722221</v>
      </c>
      <c r="Q249" s="4"/>
      <c r="R249" s="4" t="s">
        <v>181</v>
      </c>
      <c r="S249" s="4"/>
      <c r="T249" s="5">
        <v>42662</v>
      </c>
      <c r="U249" s="4" t="s">
        <v>198</v>
      </c>
      <c r="V249" s="4"/>
      <c r="W249" s="4"/>
      <c r="X249" s="4"/>
      <c r="Y249" s="4"/>
      <c r="Z249" s="4"/>
    </row>
    <row r="250" spans="1:26" hidden="1" x14ac:dyDescent="0.35">
      <c r="A250" s="9"/>
      <c r="B250" s="26" t="s">
        <v>52</v>
      </c>
      <c r="C250" s="4" t="s">
        <v>23</v>
      </c>
      <c r="D250" s="4" t="s">
        <v>750</v>
      </c>
      <c r="E250" s="4" t="s">
        <v>751</v>
      </c>
      <c r="F250" s="4" t="s">
        <v>427</v>
      </c>
      <c r="G250" s="4" t="s">
        <v>752</v>
      </c>
      <c r="H250" s="5">
        <v>42670</v>
      </c>
      <c r="I250" s="25">
        <v>0.5625</v>
      </c>
      <c r="J250" s="25">
        <v>0.58333333333333337</v>
      </c>
      <c r="K250" s="4">
        <v>30</v>
      </c>
      <c r="L250" s="4" t="s">
        <v>53</v>
      </c>
      <c r="M250" s="4" t="s">
        <v>54</v>
      </c>
      <c r="N250" s="4">
        <v>1810263386</v>
      </c>
      <c r="O250" s="4" t="s">
        <v>96</v>
      </c>
      <c r="P250" s="12">
        <v>42668.36246527778</v>
      </c>
      <c r="Q250" s="4"/>
      <c r="R250" s="4" t="s">
        <v>55</v>
      </c>
      <c r="S250" s="4"/>
      <c r="T250" s="5">
        <v>42668</v>
      </c>
      <c r="U250" s="4" t="s">
        <v>753</v>
      </c>
      <c r="V250" s="4"/>
      <c r="W250" s="4"/>
      <c r="X250" s="4"/>
      <c r="Y250" s="4"/>
      <c r="Z250" s="4"/>
    </row>
    <row r="251" spans="1:26" x14ac:dyDescent="0.35">
      <c r="A251" s="9"/>
      <c r="B251" s="8" t="s">
        <v>154</v>
      </c>
      <c r="C251" s="4" t="s">
        <v>23</v>
      </c>
      <c r="D251" s="4" t="s">
        <v>573</v>
      </c>
      <c r="E251" s="4" t="s">
        <v>574</v>
      </c>
      <c r="F251" s="4" t="s">
        <v>24</v>
      </c>
      <c r="G251" s="4" t="s">
        <v>575</v>
      </c>
      <c r="H251" s="5">
        <v>42670</v>
      </c>
      <c r="I251" s="25">
        <v>0.5625</v>
      </c>
      <c r="J251" s="25">
        <v>0.72916666666666663</v>
      </c>
      <c r="K251" s="4">
        <v>240</v>
      </c>
      <c r="L251" s="4" t="s">
        <v>195</v>
      </c>
      <c r="M251" s="4" t="s">
        <v>754</v>
      </c>
      <c r="N251" s="4">
        <v>1810274418</v>
      </c>
      <c r="O251" s="4" t="s">
        <v>44</v>
      </c>
      <c r="P251" s="12">
        <v>42668.45888888889</v>
      </c>
      <c r="Q251" s="4" t="s">
        <v>755</v>
      </c>
      <c r="R251" s="4" t="s">
        <v>196</v>
      </c>
      <c r="S251" s="4" t="s">
        <v>360</v>
      </c>
      <c r="T251" s="5">
        <v>42668</v>
      </c>
      <c r="U251" s="4" t="s">
        <v>390</v>
      </c>
      <c r="V251" s="4" t="s">
        <v>17</v>
      </c>
      <c r="W251" s="4"/>
      <c r="X251" s="4"/>
      <c r="Y251" s="4"/>
      <c r="Z251" s="4"/>
    </row>
    <row r="252" spans="1:26" x14ac:dyDescent="0.35">
      <c r="A252" s="7" t="s">
        <v>28</v>
      </c>
      <c r="B252" s="8" t="s">
        <v>29</v>
      </c>
      <c r="C252" s="4" t="s">
        <v>23</v>
      </c>
      <c r="D252" s="4" t="s">
        <v>30</v>
      </c>
      <c r="E252" s="4" t="s">
        <v>31</v>
      </c>
      <c r="F252" s="4" t="s">
        <v>32</v>
      </c>
      <c r="G252" s="4" t="s">
        <v>33</v>
      </c>
      <c r="H252" s="5">
        <v>42670</v>
      </c>
      <c r="I252" s="24">
        <v>0.5625</v>
      </c>
      <c r="J252" s="25">
        <v>0.58333333333333337</v>
      </c>
      <c r="K252" s="4">
        <v>30</v>
      </c>
      <c r="L252" s="6" t="s">
        <v>107</v>
      </c>
      <c r="M252" s="4" t="s">
        <v>108</v>
      </c>
      <c r="N252" s="4">
        <v>1810021600</v>
      </c>
      <c r="O252" s="4" t="s">
        <v>44</v>
      </c>
      <c r="P252" s="12">
        <v>42660.657731481479</v>
      </c>
      <c r="Q252" s="4" t="s">
        <v>35</v>
      </c>
      <c r="R252" s="4" t="s">
        <v>109</v>
      </c>
      <c r="S252" s="4"/>
      <c r="T252" s="5">
        <v>42660</v>
      </c>
      <c r="U252" s="4" t="s">
        <v>36</v>
      </c>
      <c r="V252" s="4"/>
      <c r="W252" s="4"/>
      <c r="X252" s="4"/>
      <c r="Y252" s="4"/>
      <c r="Z252" s="4"/>
    </row>
    <row r="253" spans="1:26" x14ac:dyDescent="0.35">
      <c r="A253" s="9"/>
      <c r="B253" s="8" t="s">
        <v>217</v>
      </c>
      <c r="C253" s="4" t="s">
        <v>23</v>
      </c>
      <c r="D253" s="4" t="s">
        <v>143</v>
      </c>
      <c r="E253" s="4" t="s">
        <v>745</v>
      </c>
      <c r="F253" s="4" t="s">
        <v>114</v>
      </c>
      <c r="G253" s="4" t="s">
        <v>746</v>
      </c>
      <c r="H253" s="5">
        <v>42670</v>
      </c>
      <c r="I253" s="24">
        <v>0.56944444444444442</v>
      </c>
      <c r="J253" s="25">
        <v>0.61111111111111105</v>
      </c>
      <c r="K253" s="4">
        <v>60</v>
      </c>
      <c r="L253" s="6" t="s">
        <v>756</v>
      </c>
      <c r="M253" s="4" t="s">
        <v>147</v>
      </c>
      <c r="N253" s="4">
        <v>1810022894</v>
      </c>
      <c r="O253" s="4" t="s">
        <v>44</v>
      </c>
      <c r="P253" s="12">
        <v>42660.670312499999</v>
      </c>
      <c r="Q253" s="4"/>
      <c r="R253" s="4" t="s">
        <v>757</v>
      </c>
      <c r="S253" s="4"/>
      <c r="T253" s="5">
        <v>42660</v>
      </c>
      <c r="U253" s="4" t="s">
        <v>625</v>
      </c>
      <c r="V253" s="4"/>
      <c r="W253" s="4"/>
      <c r="X253" s="4"/>
      <c r="Y253" s="4"/>
      <c r="Z253" s="4"/>
    </row>
    <row r="254" spans="1:26" hidden="1" x14ac:dyDescent="0.35">
      <c r="A254" s="9"/>
      <c r="B254" s="3" t="s">
        <v>22</v>
      </c>
      <c r="C254" s="4" t="s">
        <v>23</v>
      </c>
      <c r="D254" s="4" t="s">
        <v>387</v>
      </c>
      <c r="E254" s="4" t="s">
        <v>568</v>
      </c>
      <c r="F254" s="4" t="s">
        <v>307</v>
      </c>
      <c r="G254" s="4" t="s">
        <v>388</v>
      </c>
      <c r="H254" s="5">
        <v>42670</v>
      </c>
      <c r="I254" s="25">
        <v>0.57291666666666663</v>
      </c>
      <c r="J254" s="25">
        <v>0.58333333333333326</v>
      </c>
      <c r="K254" s="4">
        <v>15</v>
      </c>
      <c r="L254" s="4" t="s">
        <v>25</v>
      </c>
      <c r="M254" s="4" t="s">
        <v>25</v>
      </c>
      <c r="N254" s="4">
        <v>1810152373</v>
      </c>
      <c r="O254" s="4" t="s">
        <v>44</v>
      </c>
      <c r="P254" s="12">
        <v>42663.665914351855</v>
      </c>
      <c r="Q254" s="4" t="s">
        <v>569</v>
      </c>
      <c r="R254" s="4" t="s">
        <v>25</v>
      </c>
      <c r="S254" s="4"/>
      <c r="T254" s="5">
        <v>42663</v>
      </c>
      <c r="U254" s="4" t="s">
        <v>370</v>
      </c>
      <c r="V254" s="4"/>
      <c r="W254" s="4"/>
      <c r="X254" s="4"/>
      <c r="Y254" s="4"/>
      <c r="Z254" s="4"/>
    </row>
    <row r="255" spans="1:26" hidden="1" x14ac:dyDescent="0.35">
      <c r="A255" s="2"/>
      <c r="B255" s="3" t="s">
        <v>22</v>
      </c>
      <c r="C255" s="4" t="s">
        <v>23</v>
      </c>
      <c r="D255" s="4" t="s">
        <v>200</v>
      </c>
      <c r="E255" s="4" t="s">
        <v>758</v>
      </c>
      <c r="F255" s="4" t="s">
        <v>37</v>
      </c>
      <c r="G255" s="4" t="s">
        <v>759</v>
      </c>
      <c r="H255" s="5">
        <v>42670</v>
      </c>
      <c r="I255" s="24">
        <v>0.58333333333333337</v>
      </c>
      <c r="J255" s="25">
        <v>0.59375</v>
      </c>
      <c r="K255" s="4">
        <v>15</v>
      </c>
      <c r="L255" s="6" t="s">
        <v>25</v>
      </c>
      <c r="M255" s="4" t="s">
        <v>25</v>
      </c>
      <c r="N255" s="4">
        <v>1808816349</v>
      </c>
      <c r="O255" s="4" t="s">
        <v>44</v>
      </c>
      <c r="P255" s="12">
        <v>42622.485474537039</v>
      </c>
      <c r="Q255" s="4" t="s">
        <v>760</v>
      </c>
      <c r="R255" s="4" t="s">
        <v>25</v>
      </c>
      <c r="S255" s="4"/>
      <c r="T255" s="5">
        <v>42622</v>
      </c>
      <c r="U255" s="4" t="s">
        <v>234</v>
      </c>
      <c r="V255" s="4"/>
      <c r="W255" s="4"/>
      <c r="X255" s="4"/>
      <c r="Y255" s="4"/>
      <c r="Z255" s="4"/>
    </row>
    <row r="256" spans="1:26" x14ac:dyDescent="0.35">
      <c r="A256" s="7" t="s">
        <v>28</v>
      </c>
      <c r="B256" s="8" t="s">
        <v>184</v>
      </c>
      <c r="C256" s="4" t="s">
        <v>23</v>
      </c>
      <c r="D256" s="4" t="s">
        <v>743</v>
      </c>
      <c r="E256" s="4" t="s">
        <v>444</v>
      </c>
      <c r="F256" s="4" t="s">
        <v>32</v>
      </c>
      <c r="G256" s="4" t="s">
        <v>744</v>
      </c>
      <c r="H256" s="5">
        <v>42670</v>
      </c>
      <c r="I256" s="24">
        <v>0.58333333333333337</v>
      </c>
      <c r="J256" s="25">
        <v>0.60416666666666663</v>
      </c>
      <c r="K256" s="4">
        <v>30</v>
      </c>
      <c r="L256" s="6" t="s">
        <v>378</v>
      </c>
      <c r="M256" s="4"/>
      <c r="N256" s="4"/>
      <c r="O256" s="4"/>
      <c r="P256" s="12"/>
      <c r="Q256" s="4"/>
      <c r="R256" s="4"/>
      <c r="S256" s="4"/>
      <c r="T256" s="5"/>
      <c r="U256" s="4"/>
      <c r="V256" s="4"/>
      <c r="W256" s="4"/>
      <c r="X256" s="4"/>
      <c r="Y256" s="4"/>
      <c r="Z256" s="4"/>
    </row>
    <row r="257" spans="1:26" hidden="1" x14ac:dyDescent="0.35">
      <c r="A257" s="2"/>
      <c r="B257" s="3" t="s">
        <v>22</v>
      </c>
      <c r="C257" s="4" t="s">
        <v>23</v>
      </c>
      <c r="D257" s="4" t="s">
        <v>761</v>
      </c>
      <c r="E257" s="4" t="s">
        <v>762</v>
      </c>
      <c r="F257" s="4" t="s">
        <v>37</v>
      </c>
      <c r="G257" s="4" t="s">
        <v>763</v>
      </c>
      <c r="H257" s="5">
        <v>42670</v>
      </c>
      <c r="I257" s="24">
        <v>0.58333333333333337</v>
      </c>
      <c r="J257" s="25">
        <v>0.59375</v>
      </c>
      <c r="K257" s="4">
        <v>15</v>
      </c>
      <c r="L257" s="6" t="s">
        <v>25</v>
      </c>
      <c r="M257" s="4" t="s">
        <v>25</v>
      </c>
      <c r="N257" s="4">
        <v>1809165630</v>
      </c>
      <c r="O257" s="4" t="s">
        <v>44</v>
      </c>
      <c r="P257" s="12">
        <v>42633.581388888888</v>
      </c>
      <c r="Q257" s="4"/>
      <c r="R257" s="4" t="s">
        <v>25</v>
      </c>
      <c r="S257" s="4"/>
      <c r="T257" s="5">
        <v>42633</v>
      </c>
      <c r="U257" s="4" t="s">
        <v>354</v>
      </c>
      <c r="V257" s="4"/>
      <c r="W257" s="4"/>
      <c r="X257" s="4"/>
      <c r="Y257" s="4"/>
      <c r="Z257" s="4"/>
    </row>
    <row r="258" spans="1:26" x14ac:dyDescent="0.35">
      <c r="A258" s="2"/>
      <c r="B258" s="8" t="s">
        <v>209</v>
      </c>
      <c r="C258" s="4" t="s">
        <v>23</v>
      </c>
      <c r="D258" s="4" t="s">
        <v>309</v>
      </c>
      <c r="E258" s="4" t="s">
        <v>310</v>
      </c>
      <c r="F258" s="4" t="s">
        <v>311</v>
      </c>
      <c r="G258" s="4" t="s">
        <v>312</v>
      </c>
      <c r="H258" s="5">
        <v>42670</v>
      </c>
      <c r="I258" s="24">
        <v>0.58333333333333337</v>
      </c>
      <c r="J258" s="25">
        <v>0.625</v>
      </c>
      <c r="K258" s="4">
        <v>60</v>
      </c>
      <c r="L258" s="6" t="s">
        <v>110</v>
      </c>
      <c r="M258" s="4" t="s">
        <v>764</v>
      </c>
      <c r="N258" s="4">
        <v>1808827874</v>
      </c>
      <c r="O258" s="4" t="s">
        <v>44</v>
      </c>
      <c r="P258" s="12">
        <v>42622.620266203703</v>
      </c>
      <c r="Q258" s="4" t="s">
        <v>765</v>
      </c>
      <c r="R258" s="4" t="s">
        <v>111</v>
      </c>
      <c r="S258" s="4"/>
      <c r="T258" s="5">
        <v>42622</v>
      </c>
      <c r="U258" s="4" t="s">
        <v>279</v>
      </c>
      <c r="V258" s="4"/>
      <c r="W258" s="4"/>
      <c r="X258" s="4"/>
      <c r="Y258" s="4"/>
      <c r="Z258" s="4"/>
    </row>
    <row r="259" spans="1:26" x14ac:dyDescent="0.35">
      <c r="A259" s="7" t="s">
        <v>28</v>
      </c>
      <c r="B259" s="8" t="s">
        <v>29</v>
      </c>
      <c r="C259" s="4" t="s">
        <v>23</v>
      </c>
      <c r="D259" s="4" t="s">
        <v>30</v>
      </c>
      <c r="E259" s="4" t="s">
        <v>31</v>
      </c>
      <c r="F259" s="4" t="s">
        <v>32</v>
      </c>
      <c r="G259" s="4" t="s">
        <v>33</v>
      </c>
      <c r="H259" s="5">
        <v>42670</v>
      </c>
      <c r="I259" s="24">
        <v>0.58333333333333337</v>
      </c>
      <c r="J259" s="25">
        <v>0.61458333333333337</v>
      </c>
      <c r="K259" s="4">
        <v>45</v>
      </c>
      <c r="L259" s="6" t="s">
        <v>190</v>
      </c>
      <c r="M259" s="4" t="s">
        <v>380</v>
      </c>
      <c r="N259" s="4">
        <v>1810011340</v>
      </c>
      <c r="O259" s="4" t="s">
        <v>44</v>
      </c>
      <c r="P259" s="12">
        <v>42660.567488425928</v>
      </c>
      <c r="Q259" s="4" t="s">
        <v>35</v>
      </c>
      <c r="R259" s="4" t="s">
        <v>191</v>
      </c>
      <c r="S259" s="4"/>
      <c r="T259" s="5">
        <v>42660</v>
      </c>
      <c r="U259" s="4" t="s">
        <v>36</v>
      </c>
      <c r="V259" s="4"/>
      <c r="W259" s="4"/>
      <c r="X259" s="4"/>
      <c r="Y259" s="4"/>
      <c r="Z259" s="4"/>
    </row>
    <row r="260" spans="1:26" x14ac:dyDescent="0.35">
      <c r="A260" s="9"/>
      <c r="B260" s="8" t="s">
        <v>57</v>
      </c>
      <c r="C260" s="4" t="s">
        <v>23</v>
      </c>
      <c r="D260" s="4" t="s">
        <v>458</v>
      </c>
      <c r="E260" s="4" t="s">
        <v>459</v>
      </c>
      <c r="F260" s="4" t="s">
        <v>24</v>
      </c>
      <c r="G260" s="4" t="s">
        <v>267</v>
      </c>
      <c r="H260" s="5">
        <v>42670</v>
      </c>
      <c r="I260" s="25">
        <v>0.58333333333333337</v>
      </c>
      <c r="J260" s="25">
        <v>0.59375</v>
      </c>
      <c r="K260" s="4">
        <v>15</v>
      </c>
      <c r="L260" s="4" t="s">
        <v>107</v>
      </c>
      <c r="M260" s="4" t="s">
        <v>529</v>
      </c>
      <c r="N260" s="4">
        <v>1810126441</v>
      </c>
      <c r="O260" s="4" t="s">
        <v>44</v>
      </c>
      <c r="P260" s="12">
        <v>42663.402870370373</v>
      </c>
      <c r="Q260" s="4"/>
      <c r="R260" s="4" t="s">
        <v>530</v>
      </c>
      <c r="S260" s="4"/>
      <c r="T260" s="5">
        <v>42663</v>
      </c>
      <c r="U260" s="4" t="s">
        <v>36</v>
      </c>
      <c r="V260" s="4"/>
      <c r="W260" s="4"/>
      <c r="X260" s="4"/>
      <c r="Y260" s="4"/>
      <c r="Z260" s="4"/>
    </row>
    <row r="261" spans="1:26" x14ac:dyDescent="0.35">
      <c r="A261" s="9"/>
      <c r="B261" s="30" t="s">
        <v>474</v>
      </c>
      <c r="C261" s="4" t="s">
        <v>23</v>
      </c>
      <c r="D261" s="4" t="s">
        <v>730</v>
      </c>
      <c r="E261" s="4" t="s">
        <v>571</v>
      </c>
      <c r="F261" s="4" t="s">
        <v>114</v>
      </c>
      <c r="G261" s="4" t="s">
        <v>572</v>
      </c>
      <c r="H261" s="5">
        <v>42670</v>
      </c>
      <c r="I261" s="25">
        <v>0.58333333333333337</v>
      </c>
      <c r="J261" s="25">
        <v>0.625</v>
      </c>
      <c r="K261" s="4">
        <v>60</v>
      </c>
      <c r="L261" s="4" t="s">
        <v>167</v>
      </c>
      <c r="M261" s="4"/>
      <c r="N261" s="4"/>
      <c r="O261" s="4"/>
      <c r="P261" s="12"/>
      <c r="Q261" s="4"/>
      <c r="R261" s="4"/>
      <c r="S261" s="4"/>
      <c r="T261" s="5"/>
      <c r="U261" s="4"/>
      <c r="V261" s="4"/>
      <c r="W261" s="4"/>
      <c r="X261" s="4"/>
      <c r="Y261" s="4"/>
      <c r="Z261" s="4"/>
    </row>
    <row r="262" spans="1:26" x14ac:dyDescent="0.35">
      <c r="A262" s="7" t="s">
        <v>28</v>
      </c>
      <c r="B262" s="8" t="s">
        <v>57</v>
      </c>
      <c r="C262" s="4" t="s">
        <v>23</v>
      </c>
      <c r="D262" s="4" t="s">
        <v>766</v>
      </c>
      <c r="E262" s="4" t="s">
        <v>697</v>
      </c>
      <c r="F262" s="4" t="s">
        <v>24</v>
      </c>
      <c r="G262" s="4" t="s">
        <v>767</v>
      </c>
      <c r="H262" s="5">
        <v>42670</v>
      </c>
      <c r="I262" s="25">
        <v>0.58680555555555558</v>
      </c>
      <c r="J262" s="25">
        <v>0.60763888888888884</v>
      </c>
      <c r="K262" s="4">
        <v>30</v>
      </c>
      <c r="L262" s="4" t="s">
        <v>181</v>
      </c>
      <c r="M262" s="4" t="s">
        <v>182</v>
      </c>
      <c r="N262" s="4">
        <v>1810136115</v>
      </c>
      <c r="O262" s="4" t="s">
        <v>44</v>
      </c>
      <c r="P262" s="12">
        <v>42663.491724537038</v>
      </c>
      <c r="Q262" s="4"/>
      <c r="R262" s="4" t="s">
        <v>181</v>
      </c>
      <c r="S262" s="4"/>
      <c r="T262" s="5">
        <v>42663</v>
      </c>
      <c r="U262" s="4" t="s">
        <v>168</v>
      </c>
      <c r="V262" s="4"/>
      <c r="W262" s="4"/>
      <c r="X262" s="4"/>
      <c r="Y262" s="4"/>
      <c r="Z262" s="4"/>
    </row>
    <row r="263" spans="1:26" hidden="1" x14ac:dyDescent="0.35">
      <c r="A263" s="18"/>
      <c r="B263" s="3" t="s">
        <v>22</v>
      </c>
      <c r="C263" s="4" t="s">
        <v>23</v>
      </c>
      <c r="D263" s="4" t="s">
        <v>200</v>
      </c>
      <c r="E263" s="4" t="s">
        <v>403</v>
      </c>
      <c r="F263" s="4" t="s">
        <v>37</v>
      </c>
      <c r="G263" s="4" t="s">
        <v>404</v>
      </c>
      <c r="H263" s="5">
        <v>42670</v>
      </c>
      <c r="I263" s="24">
        <v>0.59375</v>
      </c>
      <c r="J263" s="25">
        <v>0.60416666666666663</v>
      </c>
      <c r="K263" s="4">
        <v>15</v>
      </c>
      <c r="L263" s="6" t="s">
        <v>25</v>
      </c>
      <c r="M263" s="4" t="s">
        <v>25</v>
      </c>
      <c r="N263" s="4">
        <v>1810011430</v>
      </c>
      <c r="O263" s="4" t="s">
        <v>96</v>
      </c>
      <c r="P263" s="12">
        <v>42660.568310185183</v>
      </c>
      <c r="Q263" s="4"/>
      <c r="R263" s="4" t="s">
        <v>25</v>
      </c>
      <c r="S263" s="4"/>
      <c r="T263" s="5">
        <v>42660</v>
      </c>
      <c r="U263" s="4" t="s">
        <v>234</v>
      </c>
      <c r="V263" s="4"/>
      <c r="W263" s="4"/>
      <c r="X263" s="4"/>
      <c r="Y263" s="4"/>
      <c r="Z263" s="4"/>
    </row>
    <row r="264" spans="1:26" x14ac:dyDescent="0.35">
      <c r="A264" s="7" t="s">
        <v>28</v>
      </c>
      <c r="B264" s="30" t="s">
        <v>235</v>
      </c>
      <c r="C264" s="4" t="s">
        <v>23</v>
      </c>
      <c r="D264" s="4" t="s">
        <v>768</v>
      </c>
      <c r="E264" s="4" t="s">
        <v>204</v>
      </c>
      <c r="F264" s="4" t="s">
        <v>24</v>
      </c>
      <c r="G264" s="4" t="s">
        <v>769</v>
      </c>
      <c r="H264" s="5">
        <v>42670</v>
      </c>
      <c r="I264" s="25">
        <v>0.60069444444444442</v>
      </c>
      <c r="J264" s="25">
        <v>0.64236111111111105</v>
      </c>
      <c r="K264" s="4">
        <v>60</v>
      </c>
      <c r="L264" s="4" t="s">
        <v>181</v>
      </c>
      <c r="M264" s="4" t="s">
        <v>239</v>
      </c>
      <c r="N264" s="4">
        <v>1810233294</v>
      </c>
      <c r="O264" s="4" t="s">
        <v>44</v>
      </c>
      <c r="P264" s="12">
        <v>42667.493819444448</v>
      </c>
      <c r="Q264" s="4" t="s">
        <v>770</v>
      </c>
      <c r="R264" s="4" t="s">
        <v>181</v>
      </c>
      <c r="S264" s="4"/>
      <c r="T264" s="5">
        <v>42667</v>
      </c>
      <c r="U264" s="4" t="s">
        <v>198</v>
      </c>
      <c r="V264" s="4"/>
      <c r="W264" s="4"/>
      <c r="X264" s="4"/>
      <c r="Y264" s="4"/>
      <c r="Z264" s="4"/>
    </row>
    <row r="265" spans="1:26" x14ac:dyDescent="0.35">
      <c r="A265" s="2"/>
      <c r="B265" s="8" t="s">
        <v>78</v>
      </c>
      <c r="C265" s="4" t="s">
        <v>23</v>
      </c>
      <c r="D265" s="4" t="s">
        <v>362</v>
      </c>
      <c r="E265" s="4" t="s">
        <v>283</v>
      </c>
      <c r="F265" s="4" t="s">
        <v>24</v>
      </c>
      <c r="G265" s="4" t="s">
        <v>363</v>
      </c>
      <c r="H265" s="5">
        <v>42670</v>
      </c>
      <c r="I265" s="24">
        <v>0.60416666666666663</v>
      </c>
      <c r="J265" s="25">
        <v>0.625</v>
      </c>
      <c r="K265" s="4">
        <v>30</v>
      </c>
      <c r="L265" s="6" t="s">
        <v>49</v>
      </c>
      <c r="M265" s="4" t="s">
        <v>50</v>
      </c>
      <c r="N265" s="4">
        <v>1809031289</v>
      </c>
      <c r="O265" s="4" t="s">
        <v>44</v>
      </c>
      <c r="P265" s="12">
        <v>42628.618125000001</v>
      </c>
      <c r="Q265" s="4" t="s">
        <v>364</v>
      </c>
      <c r="R265" s="4" t="s">
        <v>165</v>
      </c>
      <c r="S265" s="4"/>
      <c r="T265" s="5">
        <v>42628</v>
      </c>
      <c r="U265" s="4" t="s">
        <v>354</v>
      </c>
      <c r="V265" s="4"/>
      <c r="W265" s="4"/>
      <c r="X265" s="4"/>
      <c r="Y265" s="4"/>
      <c r="Z265" s="4"/>
    </row>
    <row r="266" spans="1:26" x14ac:dyDescent="0.35">
      <c r="A266" s="2"/>
      <c r="B266" s="20" t="s">
        <v>176</v>
      </c>
      <c r="C266" s="4" t="s">
        <v>23</v>
      </c>
      <c r="D266" s="4" t="s">
        <v>200</v>
      </c>
      <c r="E266" s="4" t="s">
        <v>758</v>
      </c>
      <c r="F266" s="4" t="s">
        <v>37</v>
      </c>
      <c r="G266" s="4" t="s">
        <v>759</v>
      </c>
      <c r="H266" s="5">
        <v>42670</v>
      </c>
      <c r="I266" s="24">
        <v>0.625</v>
      </c>
      <c r="J266" s="25">
        <v>0.64583333333333337</v>
      </c>
      <c r="K266" s="4">
        <v>30</v>
      </c>
      <c r="L266" s="6" t="s">
        <v>156</v>
      </c>
      <c r="M266" s="4" t="s">
        <v>50</v>
      </c>
      <c r="N266" s="4">
        <v>1808816350</v>
      </c>
      <c r="O266" s="4" t="s">
        <v>44</v>
      </c>
      <c r="P266" s="12">
        <v>42622.485474537039</v>
      </c>
      <c r="Q266" s="4" t="s">
        <v>760</v>
      </c>
      <c r="R266" s="4" t="s">
        <v>157</v>
      </c>
      <c r="S266" s="4"/>
      <c r="T266" s="5">
        <v>42622</v>
      </c>
      <c r="U266" s="4" t="s">
        <v>234</v>
      </c>
      <c r="V266" s="4"/>
      <c r="W266" s="4"/>
      <c r="X266" s="4"/>
      <c r="Y266" s="4"/>
      <c r="Z266" s="4"/>
    </row>
    <row r="267" spans="1:26" x14ac:dyDescent="0.35">
      <c r="A267" s="30" t="s">
        <v>567</v>
      </c>
      <c r="B267" s="8" t="s">
        <v>397</v>
      </c>
      <c r="C267" s="4" t="s">
        <v>23</v>
      </c>
      <c r="D267" s="4" t="s">
        <v>387</v>
      </c>
      <c r="E267" s="4" t="s">
        <v>568</v>
      </c>
      <c r="F267" s="4" t="s">
        <v>307</v>
      </c>
      <c r="G267" s="4" t="s">
        <v>388</v>
      </c>
      <c r="H267" s="5">
        <v>42670</v>
      </c>
      <c r="I267" s="25">
        <v>0.625</v>
      </c>
      <c r="J267" s="25">
        <v>0.64583333333333337</v>
      </c>
      <c r="K267" s="4">
        <v>30</v>
      </c>
      <c r="L267" s="4" t="s">
        <v>156</v>
      </c>
      <c r="M267" s="4" t="s">
        <v>50</v>
      </c>
      <c r="N267" s="4">
        <v>1810152374</v>
      </c>
      <c r="O267" s="4" t="s">
        <v>44</v>
      </c>
      <c r="P267" s="12">
        <v>42663.665914351855</v>
      </c>
      <c r="Q267" s="4" t="s">
        <v>569</v>
      </c>
      <c r="R267" s="4" t="s">
        <v>157</v>
      </c>
      <c r="S267" s="4"/>
      <c r="T267" s="5">
        <v>42663</v>
      </c>
      <c r="U267" s="4" t="s">
        <v>370</v>
      </c>
      <c r="V267" s="4"/>
      <c r="W267" s="4"/>
      <c r="X267" s="4"/>
      <c r="Y267" s="4"/>
      <c r="Z267" s="4"/>
    </row>
    <row r="268" spans="1:26" x14ac:dyDescent="0.35">
      <c r="A268" s="2"/>
      <c r="B268" s="8" t="s">
        <v>129</v>
      </c>
      <c r="C268" s="4" t="s">
        <v>23</v>
      </c>
      <c r="D268" s="4" t="s">
        <v>761</v>
      </c>
      <c r="E268" s="4" t="s">
        <v>762</v>
      </c>
      <c r="F268" s="4" t="s">
        <v>37</v>
      </c>
      <c r="G268" s="4" t="s">
        <v>763</v>
      </c>
      <c r="H268" s="5">
        <v>42670</v>
      </c>
      <c r="I268" s="24">
        <v>0.625</v>
      </c>
      <c r="J268" s="25">
        <v>0.64583333333333337</v>
      </c>
      <c r="K268" s="4">
        <v>30</v>
      </c>
      <c r="L268" s="6" t="s">
        <v>49</v>
      </c>
      <c r="M268" s="4" t="s">
        <v>50</v>
      </c>
      <c r="N268" s="4">
        <v>1809165589</v>
      </c>
      <c r="O268" s="4" t="s">
        <v>44</v>
      </c>
      <c r="P268" s="12">
        <v>42633.580983796295</v>
      </c>
      <c r="Q268" s="4"/>
      <c r="R268" s="4" t="s">
        <v>165</v>
      </c>
      <c r="S268" s="4"/>
      <c r="T268" s="5">
        <v>42633</v>
      </c>
      <c r="U268" s="4" t="s">
        <v>354</v>
      </c>
      <c r="V268" s="4"/>
      <c r="W268" s="4"/>
      <c r="X268" s="4"/>
      <c r="Y268" s="4"/>
      <c r="Z268" s="4"/>
    </row>
    <row r="269" spans="1:26" x14ac:dyDescent="0.35">
      <c r="A269" s="2"/>
      <c r="B269" s="8" t="s">
        <v>238</v>
      </c>
      <c r="C269" s="4" t="s">
        <v>23</v>
      </c>
      <c r="D269" s="4" t="s">
        <v>351</v>
      </c>
      <c r="E269" s="4" t="s">
        <v>352</v>
      </c>
      <c r="F269" s="4" t="s">
        <v>162</v>
      </c>
      <c r="G269" s="4" t="s">
        <v>353</v>
      </c>
      <c r="H269" s="5">
        <v>42670</v>
      </c>
      <c r="I269" s="24">
        <v>0.64583333333333337</v>
      </c>
      <c r="J269" s="25">
        <v>0.66666666666666674</v>
      </c>
      <c r="K269" s="4">
        <v>30</v>
      </c>
      <c r="L269" s="6" t="s">
        <v>49</v>
      </c>
      <c r="M269" s="4" t="s">
        <v>50</v>
      </c>
      <c r="N269" s="4">
        <v>1809691341</v>
      </c>
      <c r="O269" s="4" t="s">
        <v>44</v>
      </c>
      <c r="P269" s="12">
        <v>42649.599826388891</v>
      </c>
      <c r="Q269" s="4"/>
      <c r="R269" s="4" t="s">
        <v>165</v>
      </c>
      <c r="S269" s="4" t="s">
        <v>771</v>
      </c>
      <c r="T269" s="5">
        <v>42649</v>
      </c>
      <c r="U269" s="4" t="s">
        <v>56</v>
      </c>
      <c r="V269" s="4" t="s">
        <v>17</v>
      </c>
      <c r="W269" s="4"/>
      <c r="X269" s="4"/>
      <c r="Y269" s="4"/>
      <c r="Z269" s="4"/>
    </row>
    <row r="270" spans="1:26" x14ac:dyDescent="0.35">
      <c r="A270" s="9"/>
      <c r="B270" s="20" t="s">
        <v>176</v>
      </c>
      <c r="C270" s="4" t="s">
        <v>23</v>
      </c>
      <c r="D270" s="4" t="s">
        <v>200</v>
      </c>
      <c r="E270" s="4" t="s">
        <v>403</v>
      </c>
      <c r="F270" s="4" t="s">
        <v>37</v>
      </c>
      <c r="G270" s="4" t="s">
        <v>404</v>
      </c>
      <c r="H270" s="5">
        <v>42670</v>
      </c>
      <c r="I270" s="24">
        <v>0.64583333333333337</v>
      </c>
      <c r="J270" s="25">
        <v>0.66666666666666674</v>
      </c>
      <c r="K270" s="4">
        <v>30</v>
      </c>
      <c r="L270" s="6" t="s">
        <v>156</v>
      </c>
      <c r="M270" s="4" t="s">
        <v>50</v>
      </c>
      <c r="N270" s="4">
        <v>1810011429</v>
      </c>
      <c r="O270" s="4" t="s">
        <v>96</v>
      </c>
      <c r="P270" s="12">
        <v>42660.568310185183</v>
      </c>
      <c r="Q270" s="4"/>
      <c r="R270" s="4" t="s">
        <v>392</v>
      </c>
      <c r="S270" s="4"/>
      <c r="T270" s="5">
        <v>42660</v>
      </c>
      <c r="U270" s="4" t="s">
        <v>234</v>
      </c>
      <c r="V270" s="4"/>
      <c r="W270" s="4"/>
      <c r="X270" s="4"/>
      <c r="Y270" s="4"/>
      <c r="Z270" s="4"/>
    </row>
    <row r="271" spans="1:26" x14ac:dyDescent="0.35">
      <c r="A271" s="2"/>
      <c r="B271" s="8" t="s">
        <v>78</v>
      </c>
      <c r="C271" s="4" t="s">
        <v>23</v>
      </c>
      <c r="D271" s="4" t="s">
        <v>362</v>
      </c>
      <c r="E271" s="4" t="s">
        <v>283</v>
      </c>
      <c r="F271" s="4" t="s">
        <v>24</v>
      </c>
      <c r="G271" s="4" t="s">
        <v>363</v>
      </c>
      <c r="H271" s="5">
        <v>42670</v>
      </c>
      <c r="I271" s="24">
        <v>0.64583333333333337</v>
      </c>
      <c r="J271" s="25">
        <v>0.70833333333333337</v>
      </c>
      <c r="K271" s="4">
        <v>90</v>
      </c>
      <c r="L271" s="6" t="s">
        <v>26</v>
      </c>
      <c r="M271" s="4" t="s">
        <v>376</v>
      </c>
      <c r="N271" s="4">
        <v>1809031557</v>
      </c>
      <c r="O271" s="4" t="s">
        <v>44</v>
      </c>
      <c r="P271" s="12">
        <v>42628.620740740742</v>
      </c>
      <c r="Q271" s="4" t="s">
        <v>364</v>
      </c>
      <c r="R271" s="4" t="s">
        <v>27</v>
      </c>
      <c r="S271" s="4"/>
      <c r="T271" s="5">
        <v>42628</v>
      </c>
      <c r="U271" s="4" t="s">
        <v>354</v>
      </c>
      <c r="V271" s="4"/>
      <c r="W271" s="4"/>
      <c r="X271" s="4"/>
      <c r="Y271" s="4"/>
      <c r="Z271" s="4"/>
    </row>
    <row r="272" spans="1:26" x14ac:dyDescent="0.35">
      <c r="A272" s="9"/>
      <c r="B272" s="8" t="s">
        <v>235</v>
      </c>
      <c r="C272" s="4" t="s">
        <v>23</v>
      </c>
      <c r="D272" s="4" t="s">
        <v>203</v>
      </c>
      <c r="E272" s="4" t="s">
        <v>204</v>
      </c>
      <c r="F272" s="4" t="s">
        <v>24</v>
      </c>
      <c r="G272" s="4" t="s">
        <v>205</v>
      </c>
      <c r="H272" s="5">
        <v>42670</v>
      </c>
      <c r="I272" s="24">
        <v>0.64583333333333337</v>
      </c>
      <c r="J272" s="25">
        <v>0.6875</v>
      </c>
      <c r="K272" s="4">
        <v>60</v>
      </c>
      <c r="L272" s="6" t="s">
        <v>120</v>
      </c>
      <c r="M272" s="4" t="s">
        <v>187</v>
      </c>
      <c r="N272" s="4">
        <v>1809902022</v>
      </c>
      <c r="O272" s="4"/>
      <c r="P272" s="12"/>
      <c r="Q272" s="4"/>
      <c r="R272" s="4"/>
      <c r="S272" s="4"/>
      <c r="T272" s="5"/>
      <c r="U272" s="4"/>
      <c r="V272" s="4"/>
      <c r="W272" s="4"/>
      <c r="X272" s="4"/>
      <c r="Y272" s="4"/>
      <c r="Z272" s="4"/>
    </row>
    <row r="273" spans="1:26" hidden="1" x14ac:dyDescent="0.35">
      <c r="A273" s="9"/>
      <c r="B273" s="26" t="s">
        <v>52</v>
      </c>
      <c r="C273" s="4" t="s">
        <v>23</v>
      </c>
      <c r="D273" s="4" t="s">
        <v>750</v>
      </c>
      <c r="E273" s="4" t="s">
        <v>751</v>
      </c>
      <c r="F273" s="4" t="s">
        <v>427</v>
      </c>
      <c r="G273" s="4" t="s">
        <v>752</v>
      </c>
      <c r="H273" s="5">
        <v>42670</v>
      </c>
      <c r="I273" s="25">
        <v>0.67361111111111116</v>
      </c>
      <c r="J273" s="25">
        <v>0.69444444444444453</v>
      </c>
      <c r="K273" s="4">
        <v>30</v>
      </c>
      <c r="L273" s="15" t="s">
        <v>133</v>
      </c>
      <c r="M273" s="4" t="s">
        <v>249</v>
      </c>
      <c r="N273" s="4">
        <v>1810271218</v>
      </c>
      <c r="O273" s="4" t="s">
        <v>44</v>
      </c>
      <c r="P273" s="12">
        <v>42668.433645833335</v>
      </c>
      <c r="Q273" s="4"/>
      <c r="R273" s="4" t="s">
        <v>250</v>
      </c>
      <c r="S273" s="4" t="s">
        <v>393</v>
      </c>
      <c r="T273" s="5">
        <v>42668</v>
      </c>
      <c r="U273" s="4" t="s">
        <v>251</v>
      </c>
      <c r="V273" s="4" t="s">
        <v>17</v>
      </c>
      <c r="W273" s="4"/>
      <c r="X273" s="4"/>
      <c r="Y273" s="4"/>
      <c r="Z273" s="4"/>
    </row>
    <row r="274" spans="1:26" x14ac:dyDescent="0.35">
      <c r="A274" s="2"/>
      <c r="B274" s="8" t="s">
        <v>238</v>
      </c>
      <c r="C274" s="4" t="s">
        <v>23</v>
      </c>
      <c r="D274" s="4" t="s">
        <v>351</v>
      </c>
      <c r="E274" s="4" t="s">
        <v>352</v>
      </c>
      <c r="F274" s="4" t="s">
        <v>162</v>
      </c>
      <c r="G274" s="4" t="s">
        <v>353</v>
      </c>
      <c r="H274" s="5">
        <v>42670</v>
      </c>
      <c r="I274" s="24">
        <v>0.6875</v>
      </c>
      <c r="J274" s="25">
        <v>0.75</v>
      </c>
      <c r="K274" s="4">
        <v>90</v>
      </c>
      <c r="L274" s="6" t="s">
        <v>26</v>
      </c>
      <c r="M274" s="4" t="s">
        <v>376</v>
      </c>
      <c r="N274" s="4">
        <v>1809932315</v>
      </c>
      <c r="O274" s="4" t="s">
        <v>96</v>
      </c>
      <c r="P274" s="12">
        <v>42656.67596064815</v>
      </c>
      <c r="Q274" s="4"/>
      <c r="R274" s="4" t="s">
        <v>27</v>
      </c>
      <c r="S274" s="4"/>
      <c r="T274" s="5">
        <v>42656</v>
      </c>
      <c r="U274" s="4" t="s">
        <v>354</v>
      </c>
      <c r="V274" s="4"/>
      <c r="W274" s="4"/>
      <c r="X274" s="4"/>
      <c r="Y274" s="4"/>
      <c r="Z274" s="4"/>
    </row>
    <row r="275" spans="1:26" x14ac:dyDescent="0.35">
      <c r="A275" s="2"/>
      <c r="B275" s="8" t="s">
        <v>129</v>
      </c>
      <c r="C275" s="4" t="s">
        <v>23</v>
      </c>
      <c r="D275" s="4" t="s">
        <v>761</v>
      </c>
      <c r="E275" s="4" t="s">
        <v>762</v>
      </c>
      <c r="F275" s="4" t="s">
        <v>37</v>
      </c>
      <c r="G275" s="4" t="s">
        <v>763</v>
      </c>
      <c r="H275" s="5">
        <v>42670</v>
      </c>
      <c r="I275" s="24">
        <v>0.6875</v>
      </c>
      <c r="J275" s="25">
        <v>0.75</v>
      </c>
      <c r="K275" s="4">
        <v>90</v>
      </c>
      <c r="L275" s="6" t="s">
        <v>323</v>
      </c>
      <c r="M275" s="4" t="s">
        <v>772</v>
      </c>
      <c r="N275" s="4">
        <v>1809166192</v>
      </c>
      <c r="O275" s="4" t="s">
        <v>44</v>
      </c>
      <c r="P275" s="12">
        <v>42633.586817129632</v>
      </c>
      <c r="Q275" s="4"/>
      <c r="R275" s="4" t="s">
        <v>389</v>
      </c>
      <c r="S275" s="4"/>
      <c r="T275" s="5">
        <v>42633</v>
      </c>
      <c r="U275" s="4" t="s">
        <v>390</v>
      </c>
      <c r="V275" s="4"/>
      <c r="W275" s="4"/>
      <c r="X275" s="4"/>
      <c r="Y275" s="4"/>
      <c r="Z275" s="4"/>
    </row>
    <row r="276" spans="1:26" x14ac:dyDescent="0.35">
      <c r="A276" s="7"/>
      <c r="B276" s="8" t="s">
        <v>123</v>
      </c>
      <c r="C276" s="4" t="s">
        <v>23</v>
      </c>
      <c r="D276" s="4" t="s">
        <v>454</v>
      </c>
      <c r="E276" s="4" t="s">
        <v>732</v>
      </c>
      <c r="F276" s="4" t="s">
        <v>114</v>
      </c>
      <c r="G276" s="4" t="s">
        <v>733</v>
      </c>
      <c r="H276" s="5">
        <v>42670</v>
      </c>
      <c r="I276" s="25">
        <v>0.72916666666666663</v>
      </c>
      <c r="J276" s="25">
        <v>0.73958333333333337</v>
      </c>
      <c r="K276" s="4">
        <v>15</v>
      </c>
      <c r="L276" s="4" t="s">
        <v>26</v>
      </c>
      <c r="M276" s="4"/>
      <c r="N276" s="4"/>
      <c r="O276" s="4"/>
      <c r="P276" s="12"/>
      <c r="Q276" s="4"/>
      <c r="R276" s="4"/>
      <c r="S276" s="4"/>
      <c r="T276" s="5"/>
      <c r="U276" s="4"/>
      <c r="V276" s="4"/>
      <c r="W276" s="4"/>
      <c r="X276" s="4"/>
      <c r="Y276" s="4"/>
      <c r="Z276" s="4"/>
    </row>
    <row r="277" spans="1:26" x14ac:dyDescent="0.35">
      <c r="A277" s="2"/>
      <c r="B277" s="8" t="s">
        <v>238</v>
      </c>
      <c r="C277" s="4" t="s">
        <v>23</v>
      </c>
      <c r="D277" s="4" t="s">
        <v>351</v>
      </c>
      <c r="E277" s="4" t="s">
        <v>352</v>
      </c>
      <c r="F277" s="4" t="s">
        <v>162</v>
      </c>
      <c r="G277" s="4" t="s">
        <v>353</v>
      </c>
      <c r="H277" s="5">
        <v>42670</v>
      </c>
      <c r="I277" s="24">
        <v>0.75</v>
      </c>
      <c r="J277" s="25">
        <v>0.83333333333333337</v>
      </c>
      <c r="K277" s="4">
        <v>120</v>
      </c>
      <c r="L277" s="6" t="s">
        <v>26</v>
      </c>
      <c r="M277" s="4" t="s">
        <v>175</v>
      </c>
      <c r="N277" s="4">
        <v>1809932316</v>
      </c>
      <c r="O277" s="4" t="s">
        <v>96</v>
      </c>
      <c r="P277" s="12">
        <v>42656.67596064815</v>
      </c>
      <c r="Q277" s="4"/>
      <c r="R277" s="4" t="s">
        <v>27</v>
      </c>
      <c r="S277" s="4"/>
      <c r="T277" s="5">
        <v>42656</v>
      </c>
      <c r="U277" s="4" t="s">
        <v>354</v>
      </c>
      <c r="V277" s="4"/>
      <c r="W277" s="4"/>
      <c r="X277" s="4"/>
      <c r="Y277" s="4"/>
      <c r="Z277" s="4"/>
    </row>
    <row r="278" spans="1:26" x14ac:dyDescent="0.35">
      <c r="A278" s="7" t="s">
        <v>28</v>
      </c>
      <c r="B278" s="8" t="s">
        <v>154</v>
      </c>
      <c r="C278" s="10" t="s">
        <v>86</v>
      </c>
      <c r="D278" s="4" t="s">
        <v>773</v>
      </c>
      <c r="E278" s="4" t="s">
        <v>774</v>
      </c>
      <c r="F278" s="4" t="s">
        <v>24</v>
      </c>
      <c r="G278" s="4" t="s">
        <v>775</v>
      </c>
      <c r="H278" s="5">
        <v>42670</v>
      </c>
      <c r="I278" s="24">
        <v>0.39583333333333331</v>
      </c>
      <c r="J278" s="25">
        <v>0.41666666666666663</v>
      </c>
      <c r="K278" s="4">
        <v>30</v>
      </c>
      <c r="L278" s="6" t="s">
        <v>146</v>
      </c>
      <c r="M278" s="4" t="s">
        <v>50</v>
      </c>
      <c r="N278" s="4">
        <v>1809446291</v>
      </c>
      <c r="O278" s="4" t="s">
        <v>44</v>
      </c>
      <c r="P278" s="12">
        <v>42642.360023148147</v>
      </c>
      <c r="Q278" s="4" t="s">
        <v>776</v>
      </c>
      <c r="R278" s="4" t="s">
        <v>148</v>
      </c>
      <c r="S278" s="4"/>
      <c r="T278" s="5">
        <v>42642</v>
      </c>
      <c r="U278" s="4" t="s">
        <v>199</v>
      </c>
      <c r="V278" s="4"/>
      <c r="W278" s="4"/>
      <c r="X278" s="4"/>
      <c r="Y278" s="4"/>
      <c r="Z278" s="4"/>
    </row>
    <row r="279" spans="1:26" x14ac:dyDescent="0.35">
      <c r="A279" s="2"/>
      <c r="B279" s="8" t="s">
        <v>112</v>
      </c>
      <c r="C279" s="10" t="s">
        <v>86</v>
      </c>
      <c r="D279" s="4" t="s">
        <v>245</v>
      </c>
      <c r="E279" s="4" t="s">
        <v>246</v>
      </c>
      <c r="F279" s="4" t="s">
        <v>41</v>
      </c>
      <c r="G279" s="4" t="s">
        <v>247</v>
      </c>
      <c r="H279" s="5">
        <v>42670</v>
      </c>
      <c r="I279" s="24">
        <v>0.41666666666666669</v>
      </c>
      <c r="J279" s="25">
        <v>0.42708333333333337</v>
      </c>
      <c r="K279" s="4">
        <v>15</v>
      </c>
      <c r="L279" s="6" t="s">
        <v>26</v>
      </c>
      <c r="M279" s="4" t="s">
        <v>169</v>
      </c>
      <c r="N279" s="4">
        <v>1809371914</v>
      </c>
      <c r="O279" s="4" t="s">
        <v>44</v>
      </c>
      <c r="P279" s="12">
        <v>42640.465925925928</v>
      </c>
      <c r="Q279" s="4"/>
      <c r="R279" s="4" t="s">
        <v>27</v>
      </c>
      <c r="S279" s="4"/>
      <c r="T279" s="5">
        <v>42640</v>
      </c>
      <c r="U279" s="4" t="s">
        <v>248</v>
      </c>
      <c r="V279" s="4"/>
      <c r="W279" s="4"/>
      <c r="X279" s="4"/>
      <c r="Y279" s="4"/>
      <c r="Z279" s="4"/>
    </row>
    <row r="280" spans="1:26" x14ac:dyDescent="0.35">
      <c r="A280" s="7" t="s">
        <v>122</v>
      </c>
      <c r="B280" s="8" t="s">
        <v>123</v>
      </c>
      <c r="C280" s="10" t="s">
        <v>86</v>
      </c>
      <c r="D280" s="4" t="s">
        <v>124</v>
      </c>
      <c r="E280" s="4" t="s">
        <v>125</v>
      </c>
      <c r="F280" s="4" t="s">
        <v>114</v>
      </c>
      <c r="G280" s="4" t="s">
        <v>126</v>
      </c>
      <c r="H280" s="5">
        <v>42670</v>
      </c>
      <c r="I280" s="24">
        <v>0.42708333333333331</v>
      </c>
      <c r="J280" s="25">
        <v>0.4375</v>
      </c>
      <c r="K280" s="4">
        <v>15</v>
      </c>
      <c r="L280" s="6" t="s">
        <v>46</v>
      </c>
      <c r="M280" s="4" t="s">
        <v>47</v>
      </c>
      <c r="N280" s="4">
        <v>1809996305</v>
      </c>
      <c r="O280" s="4" t="s">
        <v>44</v>
      </c>
      <c r="P280" s="12">
        <v>42660.436296296299</v>
      </c>
      <c r="Q280" s="4" t="s">
        <v>127</v>
      </c>
      <c r="R280" s="4" t="s">
        <v>46</v>
      </c>
      <c r="S280" s="4"/>
      <c r="T280" s="5">
        <v>42660</v>
      </c>
      <c r="U280" s="4" t="s">
        <v>69</v>
      </c>
      <c r="V280" s="4"/>
      <c r="W280" s="4"/>
      <c r="X280" s="4"/>
      <c r="Y280" s="4"/>
      <c r="Z280" s="4"/>
    </row>
    <row r="281" spans="1:26" x14ac:dyDescent="0.35">
      <c r="A281" s="18"/>
      <c r="B281" s="8" t="s">
        <v>209</v>
      </c>
      <c r="C281" s="10" t="s">
        <v>86</v>
      </c>
      <c r="D281" s="4" t="s">
        <v>314</v>
      </c>
      <c r="E281" s="4" t="s">
        <v>777</v>
      </c>
      <c r="F281" s="4" t="s">
        <v>210</v>
      </c>
      <c r="G281" s="4" t="s">
        <v>778</v>
      </c>
      <c r="H281" s="5">
        <v>42670</v>
      </c>
      <c r="I281" s="25">
        <v>0.64583333333333337</v>
      </c>
      <c r="J281" s="25">
        <v>0.66666666666666663</v>
      </c>
      <c r="K281" s="4">
        <v>30</v>
      </c>
      <c r="L281" s="4" t="s">
        <v>179</v>
      </c>
      <c r="M281" s="4" t="s">
        <v>50</v>
      </c>
      <c r="N281" s="4">
        <v>1809965789</v>
      </c>
      <c r="O281" s="4" t="s">
        <v>44</v>
      </c>
      <c r="P281" s="12">
        <v>42657.640972222223</v>
      </c>
      <c r="Q281" s="4" t="s">
        <v>779</v>
      </c>
      <c r="R281" s="4" t="s">
        <v>202</v>
      </c>
      <c r="S281" s="4"/>
      <c r="T281" s="5">
        <v>42657</v>
      </c>
      <c r="U281" s="4" t="s">
        <v>106</v>
      </c>
      <c r="V281" s="4"/>
      <c r="W281" s="4"/>
      <c r="X281" s="4"/>
      <c r="Y281" s="4"/>
      <c r="Z281" s="4"/>
    </row>
    <row r="282" spans="1:26" x14ac:dyDescent="0.35">
      <c r="A282" s="2"/>
      <c r="B282" s="8" t="s">
        <v>313</v>
      </c>
      <c r="C282" s="10" t="s">
        <v>780</v>
      </c>
      <c r="D282" s="4" t="s">
        <v>726</v>
      </c>
      <c r="E282" s="4" t="s">
        <v>475</v>
      </c>
      <c r="F282" s="4" t="s">
        <v>24</v>
      </c>
      <c r="G282" s="4" t="s">
        <v>727</v>
      </c>
      <c r="H282" s="5">
        <v>42670</v>
      </c>
      <c r="I282" s="24">
        <v>0.40277777777777773</v>
      </c>
      <c r="J282" s="25">
        <v>0.42361111111111105</v>
      </c>
      <c r="K282" s="4">
        <v>30</v>
      </c>
      <c r="L282" s="14" t="s">
        <v>59</v>
      </c>
      <c r="M282" s="4" t="s">
        <v>781</v>
      </c>
      <c r="N282" s="4">
        <v>1809246082</v>
      </c>
      <c r="O282" s="4" t="s">
        <v>44</v>
      </c>
      <c r="P282" s="12">
        <v>42635.544456018521</v>
      </c>
      <c r="Q282" s="4"/>
      <c r="R282" s="4" t="s">
        <v>59</v>
      </c>
      <c r="S282" s="4"/>
      <c r="T282" s="5">
        <v>42635</v>
      </c>
      <c r="U282" s="4" t="s">
        <v>554</v>
      </c>
      <c r="V282" s="4"/>
      <c r="W282" s="4"/>
      <c r="X282" s="4"/>
      <c r="Y282" s="4"/>
      <c r="Z282" s="4"/>
    </row>
    <row r="283" spans="1:26" x14ac:dyDescent="0.35">
      <c r="A283" s="9"/>
      <c r="B283" s="20" t="s">
        <v>440</v>
      </c>
      <c r="C283" s="10" t="s">
        <v>40</v>
      </c>
      <c r="D283" s="4" t="s">
        <v>782</v>
      </c>
      <c r="E283" s="4" t="s">
        <v>783</v>
      </c>
      <c r="F283" s="4" t="s">
        <v>140</v>
      </c>
      <c r="G283" s="4" t="s">
        <v>784</v>
      </c>
      <c r="H283" s="5">
        <v>42670</v>
      </c>
      <c r="I283" s="25">
        <v>0.3125</v>
      </c>
      <c r="J283" s="25">
        <v>0.32291666666666669</v>
      </c>
      <c r="K283" s="4">
        <v>15</v>
      </c>
      <c r="L283" s="4" t="s">
        <v>138</v>
      </c>
      <c r="M283" s="4" t="s">
        <v>243</v>
      </c>
      <c r="N283" s="4">
        <v>1810093615</v>
      </c>
      <c r="O283" s="4" t="s">
        <v>44</v>
      </c>
      <c r="P283" s="12">
        <v>42662.503136574072</v>
      </c>
      <c r="Q283" s="4"/>
      <c r="R283" s="4" t="s">
        <v>138</v>
      </c>
      <c r="S283" s="4"/>
      <c r="T283" s="5">
        <v>42662</v>
      </c>
      <c r="U283" s="4" t="s">
        <v>785</v>
      </c>
      <c r="V283" s="4"/>
      <c r="W283" s="4"/>
      <c r="X283" s="4"/>
      <c r="Y283" s="4"/>
      <c r="Z283" s="4"/>
    </row>
    <row r="284" spans="1:26" x14ac:dyDescent="0.35">
      <c r="A284" s="9"/>
      <c r="B284" s="20" t="s">
        <v>440</v>
      </c>
      <c r="C284" s="10" t="s">
        <v>40</v>
      </c>
      <c r="D284" s="4" t="s">
        <v>782</v>
      </c>
      <c r="E284" s="4" t="s">
        <v>783</v>
      </c>
      <c r="F284" s="4" t="s">
        <v>140</v>
      </c>
      <c r="G284" s="4" t="s">
        <v>784</v>
      </c>
      <c r="H284" s="5">
        <v>42670</v>
      </c>
      <c r="I284" s="25">
        <v>0.33333333333333331</v>
      </c>
      <c r="J284" s="25">
        <v>0.375</v>
      </c>
      <c r="K284" s="4">
        <v>60</v>
      </c>
      <c r="L284" s="4" t="s">
        <v>179</v>
      </c>
      <c r="M284" s="4" t="s">
        <v>147</v>
      </c>
      <c r="N284" s="4">
        <v>1810093616</v>
      </c>
      <c r="O284" s="4" t="s">
        <v>44</v>
      </c>
      <c r="P284" s="12">
        <v>42662.503136574072</v>
      </c>
      <c r="Q284" s="4"/>
      <c r="R284" s="4" t="s">
        <v>202</v>
      </c>
      <c r="S284" s="4"/>
      <c r="T284" s="5">
        <v>42662</v>
      </c>
      <c r="U284" s="4" t="s">
        <v>785</v>
      </c>
      <c r="V284" s="4"/>
      <c r="W284" s="4"/>
      <c r="X284" s="4"/>
      <c r="Y284" s="4"/>
      <c r="Z284" s="4"/>
    </row>
    <row r="285" spans="1:26" x14ac:dyDescent="0.35">
      <c r="A285" s="30" t="s">
        <v>558</v>
      </c>
      <c r="B285" s="8" t="s">
        <v>333</v>
      </c>
      <c r="C285" s="23" t="s">
        <v>40</v>
      </c>
      <c r="D285" s="4" t="s">
        <v>559</v>
      </c>
      <c r="E285" s="4" t="s">
        <v>560</v>
      </c>
      <c r="F285" s="4" t="s">
        <v>32</v>
      </c>
      <c r="G285" s="4" t="s">
        <v>561</v>
      </c>
      <c r="H285" s="5">
        <v>42670</v>
      </c>
      <c r="I285" s="25">
        <v>0.35416666666666669</v>
      </c>
      <c r="J285" s="25">
        <v>0.45833333333333331</v>
      </c>
      <c r="K285" s="4">
        <v>150</v>
      </c>
      <c r="L285" s="4" t="s">
        <v>115</v>
      </c>
      <c r="M285" s="4" t="s">
        <v>116</v>
      </c>
      <c r="N285" s="4">
        <v>1810050800</v>
      </c>
      <c r="O285" s="4" t="s">
        <v>44</v>
      </c>
      <c r="P285" s="12">
        <v>42661.503680555557</v>
      </c>
      <c r="Q285" s="4" t="s">
        <v>564</v>
      </c>
      <c r="R285" s="4" t="s">
        <v>115</v>
      </c>
      <c r="S285" s="4"/>
      <c r="T285" s="5">
        <v>42661</v>
      </c>
      <c r="U285" s="4" t="s">
        <v>476</v>
      </c>
      <c r="V285" s="4"/>
      <c r="W285" s="4"/>
      <c r="X285" s="4"/>
      <c r="Y285" s="4"/>
      <c r="Z285" s="4"/>
    </row>
    <row r="286" spans="1:26" x14ac:dyDescent="0.35">
      <c r="A286" s="7" t="s">
        <v>122</v>
      </c>
      <c r="B286" s="8" t="s">
        <v>123</v>
      </c>
      <c r="C286" s="10" t="s">
        <v>40</v>
      </c>
      <c r="D286" s="4" t="s">
        <v>365</v>
      </c>
      <c r="E286" s="4" t="s">
        <v>366</v>
      </c>
      <c r="F286" s="4" t="s">
        <v>114</v>
      </c>
      <c r="G286" s="4" t="s">
        <v>367</v>
      </c>
      <c r="H286" s="5">
        <v>42670</v>
      </c>
      <c r="I286" s="24">
        <v>0.35416666666666669</v>
      </c>
      <c r="J286" s="25">
        <v>0.375</v>
      </c>
      <c r="K286" s="4">
        <v>30</v>
      </c>
      <c r="L286" s="6" t="s">
        <v>49</v>
      </c>
      <c r="M286" s="4" t="s">
        <v>50</v>
      </c>
      <c r="N286" s="4">
        <v>1809237663</v>
      </c>
      <c r="O286" s="4" t="s">
        <v>44</v>
      </c>
      <c r="P286" s="12">
        <v>42635.453692129631</v>
      </c>
      <c r="Q286" s="4" t="s">
        <v>368</v>
      </c>
      <c r="R286" s="4" t="s">
        <v>165</v>
      </c>
      <c r="S286" s="4"/>
      <c r="T286" s="5">
        <v>42635</v>
      </c>
      <c r="U286" s="4" t="s">
        <v>56</v>
      </c>
      <c r="V286" s="4"/>
      <c r="W286" s="4"/>
      <c r="X286" s="4"/>
      <c r="Y286" s="4"/>
      <c r="Z286" s="4"/>
    </row>
    <row r="287" spans="1:26" x14ac:dyDescent="0.35">
      <c r="A287" s="9"/>
      <c r="B287" s="20" t="s">
        <v>440</v>
      </c>
      <c r="C287" s="10" t="s">
        <v>40</v>
      </c>
      <c r="D287" s="4" t="s">
        <v>782</v>
      </c>
      <c r="E287" s="4" t="s">
        <v>783</v>
      </c>
      <c r="F287" s="4" t="s">
        <v>140</v>
      </c>
      <c r="G287" s="4" t="s">
        <v>784</v>
      </c>
      <c r="H287" s="5">
        <v>42670</v>
      </c>
      <c r="I287" s="25">
        <v>0.375</v>
      </c>
      <c r="J287" s="25">
        <v>0.38541666666666669</v>
      </c>
      <c r="K287" s="4">
        <v>15</v>
      </c>
      <c r="L287" s="4" t="s">
        <v>120</v>
      </c>
      <c r="M287" s="4" t="s">
        <v>121</v>
      </c>
      <c r="N287" s="4">
        <v>1810093790</v>
      </c>
      <c r="O287" s="4" t="s">
        <v>44</v>
      </c>
      <c r="P287" s="12">
        <v>42662.504814814813</v>
      </c>
      <c r="Q287" s="4"/>
      <c r="R287" s="4" t="s">
        <v>120</v>
      </c>
      <c r="S287" s="4"/>
      <c r="T287" s="5">
        <v>42662</v>
      </c>
      <c r="U287" s="4" t="s">
        <v>785</v>
      </c>
      <c r="V287" s="4"/>
      <c r="W287" s="4"/>
      <c r="X287" s="4"/>
      <c r="Y287" s="4"/>
      <c r="Z287" s="4"/>
    </row>
    <row r="288" spans="1:26" x14ac:dyDescent="0.35">
      <c r="A288" s="7" t="s">
        <v>122</v>
      </c>
      <c r="B288" s="8" t="s">
        <v>123</v>
      </c>
      <c r="C288" s="10" t="s">
        <v>40</v>
      </c>
      <c r="D288" s="4" t="s">
        <v>365</v>
      </c>
      <c r="E288" s="4" t="s">
        <v>366</v>
      </c>
      <c r="F288" s="4" t="s">
        <v>114</v>
      </c>
      <c r="G288" s="4" t="s">
        <v>367</v>
      </c>
      <c r="H288" s="5">
        <v>42670</v>
      </c>
      <c r="I288" s="24">
        <v>0.39583333333333331</v>
      </c>
      <c r="J288" s="25">
        <v>0.4375</v>
      </c>
      <c r="K288" s="4">
        <v>60</v>
      </c>
      <c r="L288" s="6" t="s">
        <v>26</v>
      </c>
      <c r="M288" s="4" t="s">
        <v>463</v>
      </c>
      <c r="N288" s="4">
        <v>1809237745</v>
      </c>
      <c r="O288" s="4" t="s">
        <v>44</v>
      </c>
      <c r="P288" s="12">
        <v>42635.454432870371</v>
      </c>
      <c r="Q288" s="4" t="s">
        <v>368</v>
      </c>
      <c r="R288" s="4" t="s">
        <v>27</v>
      </c>
      <c r="S288" s="4"/>
      <c r="T288" s="5">
        <v>42635</v>
      </c>
      <c r="U288" s="4" t="s">
        <v>56</v>
      </c>
      <c r="V288" s="4"/>
      <c r="W288" s="4"/>
      <c r="X288" s="4"/>
      <c r="Y288" s="4"/>
      <c r="Z288" s="4"/>
    </row>
    <row r="289" spans="1:26" x14ac:dyDescent="0.35">
      <c r="A289" s="7" t="s">
        <v>122</v>
      </c>
      <c r="B289" s="8" t="s">
        <v>123</v>
      </c>
      <c r="C289" s="10" t="s">
        <v>40</v>
      </c>
      <c r="D289" s="4" t="s">
        <v>124</v>
      </c>
      <c r="E289" s="4" t="s">
        <v>125</v>
      </c>
      <c r="F289" s="4" t="s">
        <v>114</v>
      </c>
      <c r="G289" s="4" t="s">
        <v>126</v>
      </c>
      <c r="H289" s="5">
        <v>42670</v>
      </c>
      <c r="I289" s="25">
        <v>0.39583333333333331</v>
      </c>
      <c r="J289" s="25">
        <v>0.40625</v>
      </c>
      <c r="K289" s="4">
        <v>15</v>
      </c>
      <c r="L289" s="4" t="s">
        <v>46</v>
      </c>
      <c r="M289" s="4" t="s">
        <v>47</v>
      </c>
      <c r="N289" s="4">
        <v>1809996305</v>
      </c>
      <c r="O289" s="4" t="s">
        <v>399</v>
      </c>
      <c r="P289" s="12">
        <v>42661.493668981479</v>
      </c>
      <c r="Q289" s="4" t="s">
        <v>127</v>
      </c>
      <c r="R289" s="4" t="s">
        <v>46</v>
      </c>
      <c r="S289" s="4" t="s">
        <v>671</v>
      </c>
      <c r="T289" s="5">
        <v>42660</v>
      </c>
      <c r="U289" s="4" t="s">
        <v>69</v>
      </c>
      <c r="V289" s="4" t="s">
        <v>17</v>
      </c>
      <c r="W289" s="4"/>
      <c r="X289" s="4"/>
      <c r="Y289" s="4"/>
      <c r="Z289" s="4"/>
    </row>
    <row r="290" spans="1:26" x14ac:dyDescent="0.35">
      <c r="A290" s="7" t="s">
        <v>122</v>
      </c>
      <c r="B290" s="8" t="s">
        <v>123</v>
      </c>
      <c r="C290" s="10" t="s">
        <v>40</v>
      </c>
      <c r="D290" s="4" t="s">
        <v>124</v>
      </c>
      <c r="E290" s="4" t="s">
        <v>125</v>
      </c>
      <c r="F290" s="4" t="s">
        <v>114</v>
      </c>
      <c r="G290" s="4" t="s">
        <v>126</v>
      </c>
      <c r="H290" s="5">
        <v>42670</v>
      </c>
      <c r="I290" s="25">
        <v>0.40625</v>
      </c>
      <c r="J290" s="25">
        <v>0.4375</v>
      </c>
      <c r="K290" s="4">
        <v>45</v>
      </c>
      <c r="L290" s="4" t="s">
        <v>141</v>
      </c>
      <c r="M290" s="4" t="s">
        <v>142</v>
      </c>
      <c r="N290" s="4">
        <v>1810049587</v>
      </c>
      <c r="O290" s="4" t="s">
        <v>44</v>
      </c>
      <c r="P290" s="12">
        <v>42661.493020833332</v>
      </c>
      <c r="Q290" s="4" t="s">
        <v>127</v>
      </c>
      <c r="R290" s="4" t="s">
        <v>402</v>
      </c>
      <c r="S290" s="4"/>
      <c r="T290" s="5">
        <v>42661</v>
      </c>
      <c r="U290" s="4" t="s">
        <v>97</v>
      </c>
      <c r="V290" s="4"/>
      <c r="W290" s="4"/>
      <c r="X290" s="4"/>
      <c r="Y290" s="4"/>
      <c r="Z290" s="4"/>
    </row>
    <row r="291" spans="1:26" x14ac:dyDescent="0.35">
      <c r="A291" s="9"/>
      <c r="B291" s="8" t="s">
        <v>161</v>
      </c>
      <c r="C291" s="10" t="s">
        <v>40</v>
      </c>
      <c r="D291" s="4" t="s">
        <v>242</v>
      </c>
      <c r="E291" s="4" t="s">
        <v>384</v>
      </c>
      <c r="F291" s="4" t="s">
        <v>162</v>
      </c>
      <c r="G291" s="4" t="s">
        <v>385</v>
      </c>
      <c r="H291" s="5">
        <v>42670</v>
      </c>
      <c r="I291" s="24">
        <v>0.45833333333333331</v>
      </c>
      <c r="J291" s="25">
        <v>0.54166666666666663</v>
      </c>
      <c r="K291" s="4">
        <v>120</v>
      </c>
      <c r="L291" s="6" t="s">
        <v>26</v>
      </c>
      <c r="M291" s="4" t="s">
        <v>391</v>
      </c>
      <c r="N291" s="4">
        <v>1810011533</v>
      </c>
      <c r="O291" s="4" t="s">
        <v>44</v>
      </c>
      <c r="P291" s="12">
        <v>42660.569305555553</v>
      </c>
      <c r="Q291" s="4" t="s">
        <v>386</v>
      </c>
      <c r="R291" s="4" t="s">
        <v>27</v>
      </c>
      <c r="S291" s="4"/>
      <c r="T291" s="5">
        <v>42660</v>
      </c>
      <c r="U291" s="4" t="s">
        <v>382</v>
      </c>
      <c r="V291" s="4"/>
      <c r="W291" s="4"/>
      <c r="X291" s="4"/>
      <c r="Y291" s="4"/>
      <c r="Z291" s="4"/>
    </row>
    <row r="292" spans="1:26" x14ac:dyDescent="0.35">
      <c r="A292" s="31" t="s">
        <v>786</v>
      </c>
      <c r="B292" s="8" t="s">
        <v>58</v>
      </c>
      <c r="C292" s="10" t="s">
        <v>40</v>
      </c>
      <c r="D292" s="21" t="s">
        <v>282</v>
      </c>
      <c r="E292" s="21" t="s">
        <v>283</v>
      </c>
      <c r="F292" s="21" t="s">
        <v>24</v>
      </c>
      <c r="G292" s="21" t="s">
        <v>284</v>
      </c>
      <c r="H292" s="34">
        <v>42670</v>
      </c>
      <c r="I292" s="27">
        <v>0.45833333333333331</v>
      </c>
      <c r="J292" s="27">
        <v>0.6875</v>
      </c>
      <c r="K292" s="21">
        <v>330</v>
      </c>
      <c r="L292" s="21" t="s">
        <v>26</v>
      </c>
      <c r="M292" s="21" t="s">
        <v>285</v>
      </c>
      <c r="N292" s="21">
        <v>1808787420</v>
      </c>
      <c r="O292" s="4" t="s">
        <v>96</v>
      </c>
      <c r="P292" s="35">
        <v>42621.601053240738</v>
      </c>
      <c r="Q292" s="21" t="s">
        <v>286</v>
      </c>
      <c r="R292" s="21" t="s">
        <v>27</v>
      </c>
      <c r="S292" s="21" t="s">
        <v>287</v>
      </c>
      <c r="T292" s="5">
        <v>42621</v>
      </c>
      <c r="U292" s="4" t="s">
        <v>288</v>
      </c>
      <c r="V292" s="21" t="s">
        <v>17</v>
      </c>
      <c r="W292" s="21"/>
      <c r="X292" s="21"/>
      <c r="Y292" s="21"/>
      <c r="Z292" s="21"/>
    </row>
    <row r="293" spans="1:26" x14ac:dyDescent="0.35">
      <c r="A293" s="7" t="s">
        <v>122</v>
      </c>
      <c r="B293" s="8" t="s">
        <v>123</v>
      </c>
      <c r="C293" s="10" t="s">
        <v>40</v>
      </c>
      <c r="D293" s="4" t="s">
        <v>124</v>
      </c>
      <c r="E293" s="4" t="s">
        <v>125</v>
      </c>
      <c r="F293" s="4" t="s">
        <v>114</v>
      </c>
      <c r="G293" s="4" t="s">
        <v>126</v>
      </c>
      <c r="H293" s="5">
        <v>42670</v>
      </c>
      <c r="I293" s="25">
        <v>0.5</v>
      </c>
      <c r="J293" s="25">
        <v>0.6875</v>
      </c>
      <c r="K293" s="4">
        <v>270</v>
      </c>
      <c r="L293" s="4" t="s">
        <v>26</v>
      </c>
      <c r="M293" s="4" t="s">
        <v>34</v>
      </c>
      <c r="N293" s="4">
        <v>1810084267</v>
      </c>
      <c r="O293" s="4" t="s">
        <v>44</v>
      </c>
      <c r="P293" s="12">
        <v>42662.423078703701</v>
      </c>
      <c r="Q293" s="4" t="s">
        <v>127</v>
      </c>
      <c r="R293" s="4" t="s">
        <v>27</v>
      </c>
      <c r="S293" s="4"/>
      <c r="T293" s="5">
        <v>42662</v>
      </c>
      <c r="U293" s="4" t="s">
        <v>97</v>
      </c>
      <c r="V293" s="4"/>
      <c r="W293" s="4"/>
      <c r="X293" s="4"/>
      <c r="Y293" s="4"/>
      <c r="Z293" s="4"/>
    </row>
    <row r="294" spans="1:26" x14ac:dyDescent="0.35">
      <c r="A294" s="3" t="s">
        <v>324</v>
      </c>
      <c r="B294" s="8" t="s">
        <v>29</v>
      </c>
      <c r="C294" s="23" t="s">
        <v>40</v>
      </c>
      <c r="D294" s="4" t="s">
        <v>337</v>
      </c>
      <c r="E294" s="4" t="s">
        <v>338</v>
      </c>
      <c r="F294" s="4" t="s">
        <v>32</v>
      </c>
      <c r="G294" s="4" t="s">
        <v>339</v>
      </c>
      <c r="H294" s="5">
        <v>42670</v>
      </c>
      <c r="I294" s="24">
        <v>0.52777777777777779</v>
      </c>
      <c r="J294" s="25">
        <v>0.63194444444444442</v>
      </c>
      <c r="K294" s="4">
        <v>150</v>
      </c>
      <c r="L294" s="6" t="s">
        <v>115</v>
      </c>
      <c r="M294" s="4" t="s">
        <v>228</v>
      </c>
      <c r="N294" s="4">
        <v>1809879142</v>
      </c>
      <c r="O294" s="4" t="s">
        <v>96</v>
      </c>
      <c r="P294" s="12">
        <v>42655.54241898148</v>
      </c>
      <c r="Q294" s="4" t="s">
        <v>381</v>
      </c>
      <c r="R294" s="4" t="s">
        <v>229</v>
      </c>
      <c r="S294" s="4"/>
      <c r="T294" s="5">
        <v>42655</v>
      </c>
      <c r="U294" s="4" t="s">
        <v>382</v>
      </c>
      <c r="V294" s="4"/>
      <c r="W294" s="4"/>
      <c r="X294" s="4"/>
      <c r="Y294" s="4"/>
      <c r="Z294" s="4"/>
    </row>
    <row r="295" spans="1:26" x14ac:dyDescent="0.35">
      <c r="A295" s="2"/>
      <c r="B295" s="8" t="s">
        <v>238</v>
      </c>
      <c r="C295" s="11" t="s">
        <v>40</v>
      </c>
      <c r="D295" s="4" t="s">
        <v>351</v>
      </c>
      <c r="E295" s="4" t="s">
        <v>352</v>
      </c>
      <c r="F295" s="4" t="s">
        <v>162</v>
      </c>
      <c r="G295" s="4" t="s">
        <v>353</v>
      </c>
      <c r="H295" s="5">
        <v>42670</v>
      </c>
      <c r="I295" s="24">
        <v>0.54166666666666663</v>
      </c>
      <c r="J295" s="25">
        <v>0.5625</v>
      </c>
      <c r="K295" s="4">
        <v>30</v>
      </c>
      <c r="L295" s="9" t="s">
        <v>49</v>
      </c>
      <c r="M295" s="4"/>
      <c r="N295" s="9">
        <v>1809691341</v>
      </c>
      <c r="O295" s="4"/>
      <c r="P295" s="12"/>
      <c r="Q295" s="4"/>
      <c r="R295" s="4"/>
      <c r="S295" s="4"/>
      <c r="T295" s="5"/>
      <c r="U295" s="4"/>
      <c r="V295" s="4"/>
      <c r="W295" s="5"/>
      <c r="X295" s="4"/>
      <c r="Y295" s="4"/>
      <c r="Z295" s="4"/>
    </row>
    <row r="296" spans="1:26" x14ac:dyDescent="0.35">
      <c r="A296" s="28"/>
      <c r="B296" s="8" t="s">
        <v>154</v>
      </c>
      <c r="C296" s="11" t="s">
        <v>40</v>
      </c>
      <c r="D296" s="9" t="s">
        <v>787</v>
      </c>
      <c r="E296" s="9" t="s">
        <v>788</v>
      </c>
      <c r="F296" s="9" t="s">
        <v>266</v>
      </c>
      <c r="G296" s="9" t="s">
        <v>789</v>
      </c>
      <c r="H296" s="19">
        <v>42670</v>
      </c>
      <c r="I296" s="29">
        <v>0.5625</v>
      </c>
      <c r="J296" s="29">
        <v>0.57291666666666663</v>
      </c>
      <c r="K296" s="9">
        <v>15</v>
      </c>
      <c r="L296" s="9" t="s">
        <v>138</v>
      </c>
      <c r="M296" s="9" t="s">
        <v>139</v>
      </c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x14ac:dyDescent="0.35">
      <c r="A297" s="7" t="s">
        <v>122</v>
      </c>
      <c r="B297" s="8" t="s">
        <v>123</v>
      </c>
      <c r="C297" s="10" t="s">
        <v>40</v>
      </c>
      <c r="D297" s="4" t="s">
        <v>124</v>
      </c>
      <c r="E297" s="4" t="s">
        <v>125</v>
      </c>
      <c r="F297" s="4" t="s">
        <v>114</v>
      </c>
      <c r="G297" s="4" t="s">
        <v>126</v>
      </c>
      <c r="H297" s="5">
        <v>42670</v>
      </c>
      <c r="I297" s="25">
        <v>0.5625</v>
      </c>
      <c r="J297" s="25">
        <v>0.58333333333333337</v>
      </c>
      <c r="K297" s="4">
        <v>30</v>
      </c>
      <c r="L297" s="4" t="s">
        <v>110</v>
      </c>
      <c r="M297" s="4" t="s">
        <v>160</v>
      </c>
      <c r="N297" s="4">
        <v>1810127376</v>
      </c>
      <c r="O297" s="4" t="s">
        <v>44</v>
      </c>
      <c r="P297" s="12">
        <v>42663.411678240744</v>
      </c>
      <c r="Q297" s="4" t="s">
        <v>127</v>
      </c>
      <c r="R297" s="4" t="s">
        <v>110</v>
      </c>
      <c r="S297" s="4"/>
      <c r="T297" s="5">
        <v>42663</v>
      </c>
      <c r="U297" s="4" t="s">
        <v>97</v>
      </c>
      <c r="V297" s="4"/>
      <c r="W297" s="4"/>
      <c r="X297" s="4"/>
      <c r="Y297" s="4"/>
      <c r="Z297" s="4"/>
    </row>
    <row r="298" spans="1:26" x14ac:dyDescent="0.35">
      <c r="A298" s="2"/>
      <c r="B298" s="8" t="s">
        <v>238</v>
      </c>
      <c r="C298" s="11" t="s">
        <v>40</v>
      </c>
      <c r="D298" s="4" t="s">
        <v>351</v>
      </c>
      <c r="E298" s="4" t="s">
        <v>352</v>
      </c>
      <c r="F298" s="4" t="s">
        <v>162</v>
      </c>
      <c r="G298" s="4" t="s">
        <v>353</v>
      </c>
      <c r="H298" s="5">
        <v>42670</v>
      </c>
      <c r="I298" s="24">
        <v>0.58333333333333337</v>
      </c>
      <c r="J298" s="25">
        <v>0.64583333333333337</v>
      </c>
      <c r="K298" s="4">
        <v>90</v>
      </c>
      <c r="L298" s="6" t="s">
        <v>26</v>
      </c>
      <c r="M298" s="4" t="s">
        <v>376</v>
      </c>
      <c r="N298" s="4">
        <v>1809691215</v>
      </c>
      <c r="O298" s="4" t="s">
        <v>211</v>
      </c>
      <c r="P298" s="12">
        <v>42656.675381944442</v>
      </c>
      <c r="Q298" s="4"/>
      <c r="R298" s="4" t="s">
        <v>27</v>
      </c>
      <c r="S298" s="4"/>
      <c r="T298" s="5">
        <v>42649</v>
      </c>
      <c r="U298" s="4" t="s">
        <v>56</v>
      </c>
      <c r="V298" s="4"/>
      <c r="W298" s="5">
        <v>42656</v>
      </c>
      <c r="X298" s="4" t="s">
        <v>408</v>
      </c>
      <c r="Y298" s="4" t="s">
        <v>227</v>
      </c>
      <c r="Z298" s="4" t="s">
        <v>214</v>
      </c>
    </row>
    <row r="299" spans="1:26" x14ac:dyDescent="0.35">
      <c r="A299" s="2"/>
      <c r="B299" s="8" t="s">
        <v>238</v>
      </c>
      <c r="C299" s="11" t="s">
        <v>40</v>
      </c>
      <c r="D299" s="4" t="s">
        <v>351</v>
      </c>
      <c r="E299" s="4" t="s">
        <v>352</v>
      </c>
      <c r="F299" s="4" t="s">
        <v>162</v>
      </c>
      <c r="G299" s="4" t="s">
        <v>353</v>
      </c>
      <c r="H299" s="5">
        <v>42670</v>
      </c>
      <c r="I299" s="24">
        <v>0.60416666666666663</v>
      </c>
      <c r="J299" s="25">
        <v>0.625</v>
      </c>
      <c r="K299" s="4">
        <v>30</v>
      </c>
      <c r="L299" s="6" t="s">
        <v>110</v>
      </c>
      <c r="M299" s="4" t="s">
        <v>790</v>
      </c>
      <c r="N299" s="4">
        <v>1809691589</v>
      </c>
      <c r="O299" s="4" t="s">
        <v>211</v>
      </c>
      <c r="P299" s="12">
        <v>42656.674108796295</v>
      </c>
      <c r="Q299" s="4"/>
      <c r="R299" s="4" t="s">
        <v>110</v>
      </c>
      <c r="S299" s="4"/>
      <c r="T299" s="5">
        <v>42649</v>
      </c>
      <c r="U299" s="4" t="s">
        <v>56</v>
      </c>
      <c r="V299" s="4"/>
      <c r="W299" s="5">
        <v>42656</v>
      </c>
      <c r="X299" s="4" t="s">
        <v>408</v>
      </c>
      <c r="Y299" s="4" t="s">
        <v>227</v>
      </c>
      <c r="Z299" s="4"/>
    </row>
    <row r="300" spans="1:26" x14ac:dyDescent="0.35">
      <c r="A300" s="2"/>
      <c r="B300" s="8" t="s">
        <v>209</v>
      </c>
      <c r="C300" s="10" t="s">
        <v>40</v>
      </c>
      <c r="D300" s="4" t="s">
        <v>309</v>
      </c>
      <c r="E300" s="4" t="s">
        <v>310</v>
      </c>
      <c r="F300" s="4" t="s">
        <v>311</v>
      </c>
      <c r="G300" s="4" t="s">
        <v>312</v>
      </c>
      <c r="H300" s="5">
        <v>42670</v>
      </c>
      <c r="I300" s="24">
        <v>0.625</v>
      </c>
      <c r="J300" s="25">
        <v>0.65625</v>
      </c>
      <c r="K300" s="4">
        <v>45</v>
      </c>
      <c r="L300" s="6" t="s">
        <v>107</v>
      </c>
      <c r="M300" s="4" t="s">
        <v>452</v>
      </c>
      <c r="N300" s="4">
        <v>1808786270</v>
      </c>
      <c r="O300" s="4" t="s">
        <v>44</v>
      </c>
      <c r="P300" s="12">
        <v>42621.590451388889</v>
      </c>
      <c r="Q300" s="4" t="s">
        <v>765</v>
      </c>
      <c r="R300" s="4" t="s">
        <v>791</v>
      </c>
      <c r="S300" s="4"/>
      <c r="T300" s="5">
        <v>42621</v>
      </c>
      <c r="U300" s="4" t="s">
        <v>279</v>
      </c>
      <c r="V300" s="4"/>
      <c r="W300" s="4"/>
      <c r="X300" s="4"/>
      <c r="Y300" s="4"/>
      <c r="Z300" s="4"/>
    </row>
    <row r="301" spans="1:26" x14ac:dyDescent="0.35">
      <c r="A301" s="9"/>
      <c r="B301" s="8" t="s">
        <v>209</v>
      </c>
      <c r="C301" s="10" t="s">
        <v>40</v>
      </c>
      <c r="D301" s="4" t="s">
        <v>314</v>
      </c>
      <c r="E301" s="4" t="s">
        <v>777</v>
      </c>
      <c r="F301" s="4" t="s">
        <v>210</v>
      </c>
      <c r="G301" s="4" t="s">
        <v>778</v>
      </c>
      <c r="H301" s="5">
        <v>42670</v>
      </c>
      <c r="I301" s="24">
        <v>0.625</v>
      </c>
      <c r="J301" s="25">
        <v>0.64583333333333337</v>
      </c>
      <c r="K301" s="4">
        <v>30</v>
      </c>
      <c r="L301" s="6" t="s">
        <v>53</v>
      </c>
      <c r="M301" s="4" t="s">
        <v>54</v>
      </c>
      <c r="N301" s="4">
        <v>1810010146</v>
      </c>
      <c r="O301" s="4" t="s">
        <v>44</v>
      </c>
      <c r="P301" s="12">
        <v>42660.556597222225</v>
      </c>
      <c r="Q301" s="4" t="s">
        <v>779</v>
      </c>
      <c r="R301" s="4" t="s">
        <v>105</v>
      </c>
      <c r="S301" s="4"/>
      <c r="T301" s="5">
        <v>42660</v>
      </c>
      <c r="U301" s="4" t="s">
        <v>106</v>
      </c>
      <c r="V301" s="4"/>
      <c r="W301" s="4"/>
      <c r="X301" s="4"/>
      <c r="Y301" s="4"/>
      <c r="Z301" s="4"/>
    </row>
    <row r="302" spans="1:26" x14ac:dyDescent="0.35">
      <c r="A302" s="2"/>
      <c r="B302" s="8" t="s">
        <v>78</v>
      </c>
      <c r="C302" s="23" t="s">
        <v>40</v>
      </c>
      <c r="D302" s="4" t="s">
        <v>203</v>
      </c>
      <c r="E302" s="4" t="s">
        <v>204</v>
      </c>
      <c r="F302" s="4" t="s">
        <v>24</v>
      </c>
      <c r="G302" s="4" t="s">
        <v>205</v>
      </c>
      <c r="H302" s="5">
        <v>42670</v>
      </c>
      <c r="I302" s="24">
        <v>0.64583333333333337</v>
      </c>
      <c r="J302" s="25">
        <v>0.6875</v>
      </c>
      <c r="K302" s="4">
        <v>60</v>
      </c>
      <c r="L302" s="6" t="s">
        <v>120</v>
      </c>
      <c r="M302" s="4" t="s">
        <v>187</v>
      </c>
      <c r="N302" s="4">
        <v>1809902022</v>
      </c>
      <c r="O302" s="4" t="s">
        <v>44</v>
      </c>
      <c r="P302" s="12">
        <v>42656.367731481485</v>
      </c>
      <c r="Q302" s="4" t="s">
        <v>206</v>
      </c>
      <c r="R302" s="4" t="s">
        <v>188</v>
      </c>
      <c r="S302" s="4"/>
      <c r="T302" s="5">
        <v>42656</v>
      </c>
      <c r="U302" s="4" t="s">
        <v>45</v>
      </c>
      <c r="V302" s="4"/>
      <c r="W302" s="4"/>
      <c r="X302" s="4"/>
      <c r="Y302" s="4"/>
      <c r="Z302" s="4"/>
    </row>
    <row r="303" spans="1:26" x14ac:dyDescent="0.35">
      <c r="A303" s="2"/>
      <c r="B303" s="8" t="s">
        <v>238</v>
      </c>
      <c r="C303" s="11" t="s">
        <v>40</v>
      </c>
      <c r="D303" s="4" t="s">
        <v>351</v>
      </c>
      <c r="E303" s="4" t="s">
        <v>352</v>
      </c>
      <c r="F303" s="4" t="s">
        <v>162</v>
      </c>
      <c r="G303" s="4" t="s">
        <v>353</v>
      </c>
      <c r="H303" s="5">
        <v>42670</v>
      </c>
      <c r="I303" s="24">
        <v>0.64583333333333337</v>
      </c>
      <c r="J303" s="25">
        <v>0.72916666666666674</v>
      </c>
      <c r="K303" s="4">
        <v>120</v>
      </c>
      <c r="L303" s="6" t="s">
        <v>26</v>
      </c>
      <c r="M303" s="4" t="s">
        <v>175</v>
      </c>
      <c r="N303" s="4">
        <v>1809691216</v>
      </c>
      <c r="O303" s="4" t="s">
        <v>211</v>
      </c>
      <c r="P303" s="12">
        <v>42656.675381944442</v>
      </c>
      <c r="Q303" s="4"/>
      <c r="R303" s="4" t="s">
        <v>27</v>
      </c>
      <c r="S303" s="4"/>
      <c r="T303" s="5">
        <v>42649</v>
      </c>
      <c r="U303" s="4" t="s">
        <v>56</v>
      </c>
      <c r="V303" s="4"/>
      <c r="W303" s="5">
        <v>42656</v>
      </c>
      <c r="X303" s="4" t="s">
        <v>408</v>
      </c>
      <c r="Y303" s="4" t="s">
        <v>227</v>
      </c>
      <c r="Z303" s="4" t="s">
        <v>214</v>
      </c>
    </row>
    <row r="304" spans="1:26" x14ac:dyDescent="0.35">
      <c r="A304" s="7" t="s">
        <v>786</v>
      </c>
      <c r="B304" s="8" t="s">
        <v>58</v>
      </c>
      <c r="C304" s="10" t="s">
        <v>40</v>
      </c>
      <c r="D304" s="4" t="s">
        <v>282</v>
      </c>
      <c r="E304" s="4" t="s">
        <v>283</v>
      </c>
      <c r="F304" s="4" t="s">
        <v>24</v>
      </c>
      <c r="G304" s="4" t="s">
        <v>284</v>
      </c>
      <c r="H304" s="5">
        <v>42670</v>
      </c>
      <c r="I304" s="24">
        <v>0.6875</v>
      </c>
      <c r="J304" s="25">
        <v>0.69791666666666663</v>
      </c>
      <c r="K304" s="4">
        <v>15</v>
      </c>
      <c r="L304" s="6" t="s">
        <v>26</v>
      </c>
      <c r="M304" s="4" t="s">
        <v>207</v>
      </c>
      <c r="N304" s="4">
        <v>1808785079</v>
      </c>
      <c r="O304" s="4" t="s">
        <v>44</v>
      </c>
      <c r="P304" s="12">
        <v>42621.579363425924</v>
      </c>
      <c r="Q304" s="4" t="s">
        <v>286</v>
      </c>
      <c r="R304" s="4" t="s">
        <v>208</v>
      </c>
      <c r="S304" s="4"/>
      <c r="T304" s="5">
        <v>42621</v>
      </c>
      <c r="U304" s="4" t="s">
        <v>288</v>
      </c>
      <c r="V304" s="4"/>
      <c r="W304" s="4"/>
      <c r="X304" s="4"/>
      <c r="Y304" s="4"/>
      <c r="Z304" s="4"/>
    </row>
  </sheetData>
  <autoFilter ref="A1:Z304">
    <filterColumn colId="1">
      <filters>
        <filter val="America Breton"/>
        <filter val="Ana Remedios"/>
        <filter val="Carmen Zamani"/>
        <filter val="Cynthia Chiu"/>
        <filter val="Edmundo de la Garza"/>
        <filter val="Ethel Siu"/>
        <filter val="Fukuko Gilmore"/>
        <filter val="Haimanot Gebremeriam"/>
        <filter val="Hanna Ionis"/>
        <filter val="Hanna Nguyen"/>
        <filter val="Henry Sul"/>
        <filter val="Irene Pletner"/>
        <filter val="Irina O'Claire"/>
        <filter val="Jessica Paredes"/>
        <filter val="Kamal Abou-Zaki"/>
        <filter val="Karine Veliyeva"/>
        <filter val="Leonor Vivas"/>
        <filter val="Mala Giri"/>
        <filter val="Manbir Kaur"/>
        <filter val="Mandy Le"/>
        <filter val="Maria Cardona"/>
        <filter val="Maria Ververi"/>
        <filter val="Mariam Lehn"/>
        <filter val="Mesook Seo Yeom"/>
        <filter val="Michael Maunahan"/>
        <filter val="My Tran"/>
        <filter val="Nivea Prieto"/>
        <filter val="Patricia Garrod"/>
        <filter val="Paul Natkin"/>
        <filter val="Sachiko Miyagi-Hack"/>
        <filter val="Selina Zhang"/>
        <filter val="Shau-Lee Chow"/>
        <filter val="Shu-Hua Huang"/>
        <filter val="Tatiana Nazarco"/>
        <filter val="Tessavan Ros"/>
        <filter val="Thomas Wu"/>
        <filter val="Wai Cheuk"/>
        <filter val="Yoon Jung Oh"/>
        <filter val="Yuet Tam"/>
        <filter val="Yvonne Leung"/>
      </filters>
    </filterColumn>
  </autoFilter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16"/>
  <sheetViews>
    <sheetView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43">
        <v>0.58333333333333337</v>
      </c>
      <c r="I2" s="43">
        <v>0.61458333333333337</v>
      </c>
      <c r="J2" s="4">
        <v>45</v>
      </c>
      <c r="K2" s="43"/>
      <c r="L2" s="43">
        <v>0.58333333333333337</v>
      </c>
      <c r="M2" s="43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4"/>
      <c r="T2" s="48">
        <v>30</v>
      </c>
      <c r="U2" s="4">
        <v>48</v>
      </c>
      <c r="V2" s="4">
        <f>T2*S2</f>
        <v>0</v>
      </c>
      <c r="W2" s="4">
        <f>U2*S2</f>
        <v>0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44">
        <v>0.5625</v>
      </c>
      <c r="I3" s="44">
        <v>0.57291666666666663</v>
      </c>
      <c r="J3" s="9">
        <v>15</v>
      </c>
      <c r="K3" s="44"/>
      <c r="L3" s="44">
        <v>0.5625</v>
      </c>
      <c r="M3" s="44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9"/>
      <c r="T3" s="49">
        <v>30</v>
      </c>
      <c r="U3" s="9">
        <v>48</v>
      </c>
      <c r="V3" s="4">
        <f>T3*S3</f>
        <v>0</v>
      </c>
      <c r="W3" s="4">
        <f>U3*S3</f>
        <v>0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45">
        <v>0.39583333333333331</v>
      </c>
      <c r="I4" s="43">
        <v>0.41666666666666663</v>
      </c>
      <c r="J4" s="4">
        <v>30</v>
      </c>
      <c r="K4" s="43"/>
      <c r="L4" s="45">
        <v>0.39583333333333331</v>
      </c>
      <c r="M4" s="43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4"/>
      <c r="T4" s="48">
        <v>30</v>
      </c>
      <c r="U4" s="4">
        <v>48</v>
      </c>
      <c r="V4" s="4">
        <f>T4*S4</f>
        <v>0</v>
      </c>
      <c r="W4" s="4">
        <f>U4*S4</f>
        <v>0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43">
        <v>0.5625</v>
      </c>
      <c r="I5" s="43">
        <v>0.72916666666666663</v>
      </c>
      <c r="J5" s="4">
        <v>240</v>
      </c>
      <c r="K5" s="43"/>
      <c r="L5" s="43">
        <v>0.5625</v>
      </c>
      <c r="M5" s="43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4"/>
      <c r="T5" s="48">
        <v>30</v>
      </c>
      <c r="U5" s="4">
        <v>48</v>
      </c>
      <c r="V5" s="4">
        <f>T5*S5</f>
        <v>0</v>
      </c>
      <c r="W5" s="4">
        <f>U5*S5</f>
        <v>0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43">
        <v>0.47916666666666669</v>
      </c>
      <c r="I6" s="43">
        <v>0.49305555555555558</v>
      </c>
      <c r="J6" s="4">
        <v>20</v>
      </c>
      <c r="K6" s="43"/>
      <c r="L6" s="43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4"/>
      <c r="T6" s="48">
        <v>30</v>
      </c>
      <c r="U6" s="4">
        <v>48</v>
      </c>
      <c r="V6" s="4">
        <f>T6*S6</f>
        <v>0</v>
      </c>
      <c r="W6" s="4">
        <f>U6*S6</f>
        <v>0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43">
        <v>0.51388888888888884</v>
      </c>
      <c r="J7" s="4">
        <v>20</v>
      </c>
      <c r="K7" s="43"/>
      <c r="L7" s="45">
        <v>0.5</v>
      </c>
      <c r="M7" s="43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4"/>
      <c r="T7" s="48">
        <v>30</v>
      </c>
      <c r="U7" s="4">
        <v>48</v>
      </c>
      <c r="V7" s="4">
        <f>T7*S7</f>
        <v>0</v>
      </c>
      <c r="W7" s="4">
        <f>U7*S7</f>
        <v>0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45">
        <v>0.45833333333333331</v>
      </c>
      <c r="I8" s="43">
        <v>0.47916666666666663</v>
      </c>
      <c r="J8" s="4">
        <v>30</v>
      </c>
      <c r="K8" s="43"/>
      <c r="L8" s="45">
        <v>0.45833333333333331</v>
      </c>
      <c r="M8" s="43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4"/>
      <c r="T8" s="48">
        <v>30</v>
      </c>
      <c r="U8" s="4">
        <v>48</v>
      </c>
      <c r="V8" s="4">
        <f>T8*S8</f>
        <v>0</v>
      </c>
      <c r="W8" s="4">
        <f>U8*S8</f>
        <v>0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45">
        <v>0.375</v>
      </c>
      <c r="I9" s="43">
        <v>0.41666666666666669</v>
      </c>
      <c r="J9" s="4">
        <v>60</v>
      </c>
      <c r="K9" s="43"/>
      <c r="L9" s="45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4"/>
      <c r="T9" s="48">
        <v>30</v>
      </c>
      <c r="U9" s="4">
        <v>48</v>
      </c>
      <c r="V9" s="4">
        <f>T9*S9</f>
        <v>0</v>
      </c>
      <c r="W9" s="4">
        <f>U9*S9</f>
        <v>0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43">
        <v>0.45833333333333337</v>
      </c>
      <c r="J10" s="4">
        <v>60</v>
      </c>
      <c r="K10" s="43"/>
      <c r="L10" s="43">
        <v>0.41666666666666669</v>
      </c>
      <c r="M10" s="43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4"/>
      <c r="T10" s="48">
        <v>30</v>
      </c>
      <c r="U10" s="4">
        <v>48</v>
      </c>
      <c r="V10" s="4">
        <f>T10*S10</f>
        <v>0</v>
      </c>
      <c r="W10" s="4">
        <f>U10*S10</f>
        <v>0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43">
        <v>0.53125</v>
      </c>
      <c r="I11" s="43">
        <v>0.58333333333333337</v>
      </c>
      <c r="J11" s="4">
        <v>75</v>
      </c>
      <c r="K11" s="43"/>
      <c r="L11" s="43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4"/>
      <c r="T11" s="48">
        <v>30</v>
      </c>
      <c r="U11" s="4">
        <v>48</v>
      </c>
      <c r="V11" s="4">
        <f>T11*S11</f>
        <v>0</v>
      </c>
      <c r="W11" s="4">
        <f>U11*S11</f>
        <v>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43">
        <v>0.625</v>
      </c>
      <c r="J12" s="4">
        <v>60</v>
      </c>
      <c r="K12" s="43"/>
      <c r="L12" s="43">
        <v>0.58333333333333337</v>
      </c>
      <c r="M12" s="43">
        <v>0.625</v>
      </c>
      <c r="N12" s="4">
        <v>60</v>
      </c>
      <c r="O12" s="4" t="s">
        <v>167</v>
      </c>
      <c r="P12" s="4"/>
      <c r="Q12" s="4"/>
      <c r="R12" s="4"/>
      <c r="S12" s="4"/>
      <c r="T12" s="48">
        <v>30</v>
      </c>
      <c r="U12" s="4">
        <v>48</v>
      </c>
      <c r="V12" s="4">
        <f>T12*S12</f>
        <v>0</v>
      </c>
      <c r="W12" s="4">
        <f>U12*S12</f>
        <v>0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45">
        <v>0.40277777777777773</v>
      </c>
      <c r="I13" s="43">
        <v>0.42361111111111105</v>
      </c>
      <c r="J13" s="4">
        <v>30</v>
      </c>
      <c r="K13" s="43"/>
      <c r="L13" s="45">
        <v>0.40277777777777773</v>
      </c>
      <c r="M13" s="43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4"/>
      <c r="T13" s="48">
        <v>30</v>
      </c>
      <c r="U13" s="4">
        <v>48</v>
      </c>
      <c r="V13" s="4">
        <f>T13*S13</f>
        <v>0</v>
      </c>
      <c r="W13" s="4">
        <f>U13*S13</f>
        <v>0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45">
        <v>0.6875</v>
      </c>
      <c r="I14" s="43">
        <v>0.70833333333333337</v>
      </c>
      <c r="J14" s="4">
        <v>30</v>
      </c>
      <c r="K14" s="43"/>
      <c r="L14" s="45">
        <v>0.6875</v>
      </c>
      <c r="M14" s="43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4"/>
      <c r="T14" s="48">
        <v>32</v>
      </c>
      <c r="U14" s="4">
        <v>48</v>
      </c>
      <c r="V14" s="4">
        <f>T14*S14</f>
        <v>0</v>
      </c>
      <c r="W14" s="4">
        <f>U14*S14</f>
        <v>0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45">
        <v>0.63541666666666663</v>
      </c>
      <c r="I15" s="43">
        <v>0.65625</v>
      </c>
      <c r="J15" s="4">
        <v>45</v>
      </c>
      <c r="K15" s="43"/>
      <c r="L15" s="45">
        <v>0.63541666666666663</v>
      </c>
      <c r="M15" s="43">
        <v>0.65625</v>
      </c>
      <c r="N15" s="4">
        <v>45</v>
      </c>
      <c r="O15" s="6" t="s">
        <v>695</v>
      </c>
      <c r="P15" s="4"/>
      <c r="Q15" s="4"/>
      <c r="R15" s="4"/>
      <c r="S15" s="4"/>
      <c r="T15" s="48">
        <v>32</v>
      </c>
      <c r="U15" s="4">
        <v>48</v>
      </c>
      <c r="V15" s="4">
        <f>T15*S15</f>
        <v>0</v>
      </c>
      <c r="W15" s="4">
        <f>U15*S15</f>
        <v>0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45">
        <v>0.33333333333333331</v>
      </c>
      <c r="I16" s="43">
        <v>0.35416666666666663</v>
      </c>
      <c r="J16" s="4">
        <v>30</v>
      </c>
      <c r="K16" s="43"/>
      <c r="L16" s="45">
        <v>0.33333333333333331</v>
      </c>
      <c r="M16" s="43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4"/>
      <c r="T16" s="48">
        <v>32</v>
      </c>
      <c r="U16" s="4">
        <v>48</v>
      </c>
      <c r="V16" s="4">
        <f>T16*S16</f>
        <v>0</v>
      </c>
      <c r="W16" s="4">
        <f>U16*S16</f>
        <v>0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45">
        <v>0.36458333333333331</v>
      </c>
      <c r="I17" s="43">
        <v>0.375</v>
      </c>
      <c r="J17" s="4">
        <v>15</v>
      </c>
      <c r="K17" s="43"/>
      <c r="L17" s="45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4"/>
      <c r="T17" s="48">
        <v>32</v>
      </c>
      <c r="U17" s="4">
        <v>48</v>
      </c>
      <c r="V17" s="4">
        <f>T17*S17</f>
        <v>0</v>
      </c>
      <c r="W17" s="4">
        <f>U17*S17</f>
        <v>0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4"/>
      <c r="T18" s="48">
        <v>32</v>
      </c>
      <c r="U18" s="4">
        <v>48</v>
      </c>
      <c r="V18" s="4">
        <f>T18*S18</f>
        <v>0</v>
      </c>
      <c r="W18" s="4">
        <f>U18*S18</f>
        <v>0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43">
        <v>0.4236111111111111</v>
      </c>
      <c r="J19" s="4">
        <v>40</v>
      </c>
      <c r="K19" s="43"/>
      <c r="L19" s="45">
        <v>0.39583333333333331</v>
      </c>
      <c r="M19" s="43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8">
        <v>32</v>
      </c>
      <c r="U19" s="4">
        <v>48</v>
      </c>
      <c r="V19" s="4">
        <f>T19*S19</f>
        <v>0</v>
      </c>
      <c r="W19" s="4">
        <f>U19*S19</f>
        <v>0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45">
        <v>0.5</v>
      </c>
      <c r="I20" s="43">
        <v>0.51041666666666663</v>
      </c>
      <c r="J20" s="4">
        <v>15</v>
      </c>
      <c r="K20" s="43"/>
      <c r="L20" s="45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4"/>
      <c r="T20" s="48">
        <v>32</v>
      </c>
      <c r="U20" s="4">
        <v>48</v>
      </c>
      <c r="V20" s="4">
        <f>T20*S20</f>
        <v>0</v>
      </c>
      <c r="W20" s="4">
        <f>U20*S20</f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4"/>
      <c r="T21" s="48">
        <v>32</v>
      </c>
      <c r="U21" s="4">
        <v>48</v>
      </c>
      <c r="V21" s="4">
        <f>T21*S21</f>
        <v>0</v>
      </c>
      <c r="W21" s="4">
        <f>U21*S21</f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43">
        <v>0.54861111111111116</v>
      </c>
      <c r="J22" s="4">
        <v>40</v>
      </c>
      <c r="K22" s="43"/>
      <c r="L22" s="43">
        <v>0.52777777777777779</v>
      </c>
      <c r="M22" s="43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4"/>
      <c r="T22" s="48">
        <v>32</v>
      </c>
      <c r="U22" s="4">
        <v>48</v>
      </c>
      <c r="V22" s="4">
        <f>T22*S22</f>
        <v>0</v>
      </c>
      <c r="W22" s="4">
        <f>U22*S22</f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43">
        <v>0.55208333333333337</v>
      </c>
      <c r="I23" s="43">
        <v>0.5625</v>
      </c>
      <c r="J23" s="4">
        <v>15</v>
      </c>
      <c r="K23" s="43"/>
      <c r="L23" s="43">
        <v>0.55208333333333337</v>
      </c>
      <c r="M23" s="43">
        <v>0.5625</v>
      </c>
      <c r="N23" s="4">
        <v>15</v>
      </c>
      <c r="O23" s="4" t="s">
        <v>107</v>
      </c>
      <c r="P23" s="4" t="s">
        <v>523</v>
      </c>
      <c r="Q23" s="4"/>
      <c r="R23" s="4"/>
      <c r="S23" s="4"/>
      <c r="T23" s="48">
        <v>32</v>
      </c>
      <c r="U23" s="4">
        <v>48</v>
      </c>
      <c r="V23" s="4">
        <f>T23*S23</f>
        <v>0</v>
      </c>
      <c r="W23" s="4">
        <f>U23*S23</f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45">
        <v>0.4375</v>
      </c>
      <c r="I24" s="43">
        <v>0.45833333333333331</v>
      </c>
      <c r="J24" s="4">
        <v>30</v>
      </c>
      <c r="K24" s="43"/>
      <c r="L24" s="45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4"/>
      <c r="T24" s="48">
        <v>32</v>
      </c>
      <c r="U24" s="4">
        <v>48</v>
      </c>
      <c r="V24" s="4">
        <f>T24*S24</f>
        <v>0</v>
      </c>
      <c r="W24" s="4">
        <f>U24*S24</f>
        <v>0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43">
        <v>0.5</v>
      </c>
      <c r="J25" s="4">
        <v>45</v>
      </c>
      <c r="K25" s="43"/>
      <c r="L25" s="43">
        <v>0.46875</v>
      </c>
      <c r="M25" s="43">
        <v>0.5</v>
      </c>
      <c r="N25" s="4">
        <v>45</v>
      </c>
      <c r="O25" s="4" t="s">
        <v>82</v>
      </c>
      <c r="P25" s="4" t="s">
        <v>83</v>
      </c>
      <c r="Q25" s="4"/>
      <c r="R25" s="4"/>
      <c r="S25" s="4"/>
      <c r="T25" s="48">
        <v>32</v>
      </c>
      <c r="U25" s="4">
        <v>48</v>
      </c>
      <c r="V25" s="4">
        <f>T25*S25</f>
        <v>0</v>
      </c>
      <c r="W25" s="4">
        <f>U25*S25</f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45">
        <v>0.54166666666666663</v>
      </c>
      <c r="I26" s="43">
        <v>0.57638888888888895</v>
      </c>
      <c r="J26" s="4">
        <v>50</v>
      </c>
      <c r="K26" s="43"/>
      <c r="L26" s="45">
        <v>0.54166666666666663</v>
      </c>
      <c r="M26" s="43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4"/>
      <c r="T26" s="48">
        <v>32</v>
      </c>
      <c r="U26" s="4">
        <v>48</v>
      </c>
      <c r="V26" s="4">
        <f>T26*S26</f>
        <v>0</v>
      </c>
      <c r="W26" s="4">
        <f>U26*S26</f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45">
        <v>0.39583333333333331</v>
      </c>
      <c r="I27" s="43">
        <v>0.41666666666666663</v>
      </c>
      <c r="J27" s="4">
        <v>30</v>
      </c>
      <c r="K27" s="43"/>
      <c r="L27" s="45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4"/>
      <c r="T27" s="48">
        <v>32</v>
      </c>
      <c r="U27" s="4">
        <v>48</v>
      </c>
      <c r="V27" s="4">
        <f>T27*S27</f>
        <v>0</v>
      </c>
      <c r="W27" s="4">
        <f>U27*S27</f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43">
        <v>0.45833333333333337</v>
      </c>
      <c r="J28" s="4">
        <v>60</v>
      </c>
      <c r="K28" s="43"/>
      <c r="L28" s="45">
        <v>0.41666666666666669</v>
      </c>
      <c r="M28" s="43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4"/>
      <c r="T28" s="48">
        <v>32</v>
      </c>
      <c r="U28" s="4">
        <v>48</v>
      </c>
      <c r="V28" s="4">
        <f>T28*S28</f>
        <v>0</v>
      </c>
      <c r="W28" s="4">
        <f>U28*S28</f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43">
        <v>0.47916666666666669</v>
      </c>
      <c r="I29" s="43">
        <v>0.5</v>
      </c>
      <c r="J29" s="4">
        <v>30</v>
      </c>
      <c r="K29" s="43"/>
      <c r="L29" s="43">
        <v>0.47916666666666669</v>
      </c>
      <c r="M29" s="43">
        <v>0.5</v>
      </c>
      <c r="N29" s="4">
        <v>30</v>
      </c>
      <c r="O29" s="4" t="s">
        <v>156</v>
      </c>
      <c r="P29" s="4" t="s">
        <v>269</v>
      </c>
      <c r="Q29" s="4"/>
      <c r="R29" s="4"/>
      <c r="S29" s="4"/>
      <c r="T29" s="48">
        <v>32</v>
      </c>
      <c r="U29" s="4">
        <v>48</v>
      </c>
      <c r="V29" s="4">
        <f>T29*S29</f>
        <v>0</v>
      </c>
      <c r="W29" s="4">
        <f>U29*S29</f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45">
        <v>0.60416666666666663</v>
      </c>
      <c r="I30" s="43">
        <v>0.625</v>
      </c>
      <c r="J30" s="4">
        <v>30</v>
      </c>
      <c r="K30" s="43"/>
      <c r="L30" s="45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8">
        <v>32</v>
      </c>
      <c r="U30" s="4">
        <v>48</v>
      </c>
      <c r="V30" s="4">
        <f>T30*S30</f>
        <v>0</v>
      </c>
      <c r="W30" s="4">
        <f>U30*S30</f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43">
        <v>0.70833333333333337</v>
      </c>
      <c r="J31" s="4">
        <v>90</v>
      </c>
      <c r="K31" s="43"/>
      <c r="L31" s="45">
        <v>0.64583333333333337</v>
      </c>
      <c r="M31" s="43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8">
        <v>32</v>
      </c>
      <c r="U31" s="4">
        <v>48</v>
      </c>
      <c r="V31" s="4">
        <f>T31*S31</f>
        <v>0</v>
      </c>
      <c r="W31" s="4">
        <f>U31*S31</f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45">
        <v>0.64583333333333337</v>
      </c>
      <c r="I32" s="43">
        <v>0.6875</v>
      </c>
      <c r="J32" s="4">
        <v>60</v>
      </c>
      <c r="K32" s="43"/>
      <c r="L32" s="45">
        <v>0.64583333333333337</v>
      </c>
      <c r="M32" s="43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8">
        <v>32</v>
      </c>
      <c r="U32" s="4">
        <v>48</v>
      </c>
      <c r="V32" s="4">
        <f>T32*S32</f>
        <v>0</v>
      </c>
      <c r="W32" s="4">
        <f>U32*S32</f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45">
        <v>0.375</v>
      </c>
      <c r="I33" s="43">
        <v>0.38541666666666669</v>
      </c>
      <c r="J33" s="4">
        <v>15</v>
      </c>
      <c r="K33" s="43"/>
      <c r="L33" s="45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8">
        <v>32</v>
      </c>
      <c r="U33" s="4">
        <v>48</v>
      </c>
      <c r="V33" s="4">
        <f>T33*S33</f>
        <v>0</v>
      </c>
      <c r="W33" s="4">
        <f>U33*S33</f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8">
        <v>32</v>
      </c>
      <c r="U34" s="4">
        <v>48</v>
      </c>
      <c r="V34" s="4">
        <f>T34*S34</f>
        <v>0</v>
      </c>
      <c r="W34" s="4">
        <f>U34*S34</f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43">
        <v>0.43750000000000006</v>
      </c>
      <c r="J35" s="4">
        <v>40</v>
      </c>
      <c r="K35" s="43"/>
      <c r="L35" s="45">
        <v>0.40972222222222227</v>
      </c>
      <c r="M35" s="43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8">
        <v>32</v>
      </c>
      <c r="U35" s="4">
        <v>48</v>
      </c>
      <c r="V35" s="4">
        <f>T35*S35</f>
        <v>0</v>
      </c>
      <c r="W35" s="4">
        <f>U35*S35</f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45">
        <v>0.64583333333333337</v>
      </c>
      <c r="I36" s="43">
        <v>0.66666666666666674</v>
      </c>
      <c r="J36" s="4">
        <v>30</v>
      </c>
      <c r="K36" s="43"/>
      <c r="L36" s="45">
        <v>0.64583333333333337</v>
      </c>
      <c r="M36" s="43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8">
        <v>32</v>
      </c>
      <c r="U36" s="4">
        <v>48</v>
      </c>
      <c r="V36" s="4">
        <f>T36*S36</f>
        <v>0</v>
      </c>
      <c r="W36" s="4">
        <f>U36*S36</f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45">
        <v>0.64236111111111105</v>
      </c>
      <c r="I37" s="43">
        <v>0.66666666666666663</v>
      </c>
      <c r="J37" s="4">
        <v>35</v>
      </c>
      <c r="K37" s="43"/>
      <c r="L37" s="45">
        <v>0.64236111111111105</v>
      </c>
      <c r="M37" s="43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4"/>
      <c r="T37" s="48">
        <v>32</v>
      </c>
      <c r="U37" s="4">
        <v>48</v>
      </c>
      <c r="V37" s="4">
        <f>T37*S37</f>
        <v>0</v>
      </c>
      <c r="W37" s="4">
        <f>U37*S37</f>
        <v>0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45">
        <v>0.66666666666666663</v>
      </c>
      <c r="I38" s="43">
        <v>0.6875</v>
      </c>
      <c r="J38" s="4">
        <v>30</v>
      </c>
      <c r="K38" s="43"/>
      <c r="L38" s="45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4"/>
      <c r="T38" s="48">
        <v>32</v>
      </c>
      <c r="U38" s="4">
        <v>48</v>
      </c>
      <c r="V38" s="4">
        <f>T38*S38</f>
        <v>0</v>
      </c>
      <c r="W38" s="4">
        <f>U38*S38</f>
        <v>0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43">
        <v>0.70833333333333337</v>
      </c>
      <c r="J39" s="4">
        <v>30</v>
      </c>
      <c r="K39" s="43"/>
      <c r="L39" s="45">
        <v>0.6875</v>
      </c>
      <c r="M39" s="43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4"/>
      <c r="T39" s="48">
        <v>32</v>
      </c>
      <c r="U39" s="4">
        <v>48</v>
      </c>
      <c r="V39" s="4">
        <f>T39*S39</f>
        <v>0</v>
      </c>
      <c r="W39" s="4">
        <f>U39*S39</f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45">
        <v>0.54166666666666663</v>
      </c>
      <c r="I40" s="43">
        <v>0.5625</v>
      </c>
      <c r="J40" s="4">
        <v>30</v>
      </c>
      <c r="K40" s="43"/>
      <c r="L40" s="45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4"/>
      <c r="T40" s="48">
        <v>32</v>
      </c>
      <c r="U40" s="4">
        <v>48</v>
      </c>
      <c r="V40" s="4">
        <f>T40*S40</f>
        <v>0</v>
      </c>
      <c r="W40" s="4">
        <f>U40*S40</f>
        <v>0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43">
        <v>0.60416666666666663</v>
      </c>
      <c r="J41" s="4">
        <v>15</v>
      </c>
      <c r="K41" s="43"/>
      <c r="L41" s="45">
        <v>0.59375</v>
      </c>
      <c r="M41" s="43">
        <v>0.60416666666666663</v>
      </c>
      <c r="N41" s="4">
        <v>15</v>
      </c>
      <c r="O41" s="6" t="s">
        <v>26</v>
      </c>
      <c r="P41" s="4" t="s">
        <v>372</v>
      </c>
      <c r="Q41" s="4"/>
      <c r="R41" s="4"/>
      <c r="S41" s="4"/>
      <c r="T41" s="48">
        <v>32</v>
      </c>
      <c r="U41" s="4">
        <v>48</v>
      </c>
      <c r="V41" s="4">
        <f>T41*S41</f>
        <v>0</v>
      </c>
      <c r="W41" s="4">
        <f>U41*S41</f>
        <v>0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43">
        <v>0.60416666666666663</v>
      </c>
      <c r="I42" s="43">
        <v>0.625</v>
      </c>
      <c r="J42" s="4">
        <v>30</v>
      </c>
      <c r="K42" s="43"/>
      <c r="L42" s="43">
        <v>0.60416666666666663</v>
      </c>
      <c r="M42" s="43">
        <v>0.625</v>
      </c>
      <c r="N42" s="4">
        <v>30</v>
      </c>
      <c r="O42" s="4" t="s">
        <v>291</v>
      </c>
      <c r="P42" s="4" t="s">
        <v>681</v>
      </c>
      <c r="Q42" s="4"/>
      <c r="R42" s="4"/>
      <c r="S42" s="4"/>
      <c r="T42" s="48">
        <v>32</v>
      </c>
      <c r="U42" s="4">
        <v>48</v>
      </c>
      <c r="V42" s="4">
        <f>T42*S42</f>
        <v>0</v>
      </c>
      <c r="W42" s="4">
        <f>U42*S42</f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43">
        <v>0.60069444444444442</v>
      </c>
      <c r="I43" s="43">
        <v>0.64236111111111105</v>
      </c>
      <c r="J43" s="4">
        <v>60</v>
      </c>
      <c r="K43" s="43"/>
      <c r="L43" s="43">
        <v>0.60069444444444442</v>
      </c>
      <c r="M43" s="43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8">
        <v>32</v>
      </c>
      <c r="U43" s="4">
        <v>48</v>
      </c>
      <c r="V43" s="4">
        <f>T43*S43</f>
        <v>0</v>
      </c>
      <c r="W43" s="4">
        <f>U43*S43</f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45">
        <v>0.64583333333333337</v>
      </c>
      <c r="I44" s="43">
        <v>0.6875</v>
      </c>
      <c r="J44" s="4">
        <v>60</v>
      </c>
      <c r="K44" s="43"/>
      <c r="L44" s="45">
        <v>0.64583333333333337</v>
      </c>
      <c r="M44" s="43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8">
        <v>32</v>
      </c>
      <c r="U44" s="4">
        <v>48</v>
      </c>
      <c r="V44" s="4">
        <f>T44*S44</f>
        <v>0</v>
      </c>
      <c r="W44" s="4">
        <f>U44*S44</f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45">
        <v>0.41666666666666669</v>
      </c>
      <c r="I45" s="43">
        <v>0.4375</v>
      </c>
      <c r="J45" s="4">
        <v>30</v>
      </c>
      <c r="K45" s="43"/>
      <c r="L45" s="45">
        <v>0.41666666666666669</v>
      </c>
      <c r="M45" s="43">
        <v>0.4375</v>
      </c>
      <c r="N45" s="4">
        <v>30</v>
      </c>
      <c r="O45" s="6" t="s">
        <v>146</v>
      </c>
      <c r="P45" s="4"/>
      <c r="Q45" s="4"/>
      <c r="R45" s="4"/>
      <c r="S45" s="4"/>
      <c r="T45" s="48">
        <v>27</v>
      </c>
      <c r="U45" s="4">
        <v>48</v>
      </c>
      <c r="V45" s="4">
        <f>T45*S45</f>
        <v>0</v>
      </c>
      <c r="W45" s="4">
        <f>U45*S45</f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43">
        <v>0.3125</v>
      </c>
      <c r="I46" s="43">
        <v>0.32291666666666669</v>
      </c>
      <c r="J46" s="4">
        <v>15</v>
      </c>
      <c r="K46" s="43"/>
      <c r="L46" s="43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8">
        <v>27</v>
      </c>
      <c r="U46" s="4">
        <v>48</v>
      </c>
      <c r="V46" s="4">
        <f>T46*S46</f>
        <v>0</v>
      </c>
      <c r="W46" s="4">
        <f>U46*S46</f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8">
        <v>27</v>
      </c>
      <c r="U47" s="4">
        <v>48</v>
      </c>
      <c r="V47" s="4">
        <f>T47*S47</f>
        <v>0</v>
      </c>
      <c r="W47" s="4">
        <f>U47*S47</f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43">
        <v>0.38541666666666669</v>
      </c>
      <c r="J48" s="4">
        <v>15</v>
      </c>
      <c r="K48" s="43"/>
      <c r="L48" s="43">
        <v>0.375</v>
      </c>
      <c r="M48" s="43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8">
        <v>27</v>
      </c>
      <c r="U48" s="4">
        <v>48</v>
      </c>
      <c r="V48" s="4">
        <f>T48*S48</f>
        <v>0</v>
      </c>
      <c r="W48" s="4">
        <f>U48*S48</f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45">
        <v>0.33333333333333331</v>
      </c>
      <c r="I49" s="43">
        <v>0.41666666666666663</v>
      </c>
      <c r="J49" s="4">
        <v>120</v>
      </c>
      <c r="K49" s="43"/>
      <c r="L49" s="45">
        <v>0.33333333333333331</v>
      </c>
      <c r="M49" s="43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8">
        <v>27</v>
      </c>
      <c r="U49" s="4">
        <v>48</v>
      </c>
      <c r="V49" s="4">
        <f>T49*S49</f>
        <v>0</v>
      </c>
      <c r="W49" s="4">
        <f>U49*S49</f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45">
        <v>0.48958333333333331</v>
      </c>
      <c r="I50" s="43">
        <v>0.57291666666666663</v>
      </c>
      <c r="J50" s="4">
        <v>120</v>
      </c>
      <c r="K50" s="43"/>
      <c r="L50" s="45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8">
        <v>30</v>
      </c>
      <c r="U50" s="4">
        <v>48</v>
      </c>
      <c r="V50" s="4">
        <f>T50*S50</f>
        <v>0</v>
      </c>
      <c r="W50" s="4">
        <f>U50*S50</f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43">
        <v>0.66666666666666663</v>
      </c>
      <c r="J51" s="4">
        <v>150</v>
      </c>
      <c r="K51" s="43"/>
      <c r="L51" s="45">
        <v>0.5625</v>
      </c>
      <c r="M51" s="43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8">
        <v>30</v>
      </c>
      <c r="U51" s="4">
        <v>48</v>
      </c>
      <c r="V51" s="4">
        <f>T51*S51</f>
        <v>0</v>
      </c>
      <c r="W51" s="4">
        <f>U51*S51</f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45">
        <v>0.58333333333333337</v>
      </c>
      <c r="I52" s="43">
        <v>0.60416666666666674</v>
      </c>
      <c r="J52" s="4">
        <v>30</v>
      </c>
      <c r="K52" s="43"/>
      <c r="L52" s="45">
        <v>0.58333333333333337</v>
      </c>
      <c r="M52" s="43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8">
        <v>30</v>
      </c>
      <c r="U52" s="4">
        <v>48</v>
      </c>
      <c r="V52" s="4">
        <f>T52*S52</f>
        <v>0</v>
      </c>
      <c r="W52" s="4">
        <f>U52*S52</f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45">
        <v>0.58333333333333337</v>
      </c>
      <c r="I53" s="43">
        <v>0.60416666666666663</v>
      </c>
      <c r="J53" s="4">
        <v>30</v>
      </c>
      <c r="K53" s="43"/>
      <c r="L53" s="45">
        <v>0.58333333333333337</v>
      </c>
      <c r="M53" s="43">
        <v>0.60416666666666663</v>
      </c>
      <c r="N53" s="4">
        <v>30</v>
      </c>
      <c r="O53" s="6" t="s">
        <v>378</v>
      </c>
      <c r="P53" s="4"/>
      <c r="Q53" s="4"/>
      <c r="R53" s="4"/>
      <c r="S53" s="4"/>
      <c r="T53" s="48">
        <v>30</v>
      </c>
      <c r="U53" s="4">
        <v>48</v>
      </c>
      <c r="V53" s="4">
        <f>T53*S53</f>
        <v>0</v>
      </c>
      <c r="W53" s="4">
        <f>U53*S53</f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45">
        <v>0.45833333333333331</v>
      </c>
      <c r="I54" s="43">
        <v>0.47916666666666663</v>
      </c>
      <c r="J54" s="4">
        <v>30</v>
      </c>
      <c r="K54" s="43"/>
      <c r="L54" s="45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4"/>
      <c r="T54" s="48">
        <v>30</v>
      </c>
      <c r="U54" s="4">
        <v>48</v>
      </c>
      <c r="V54" s="4">
        <f>T54*S54</f>
        <v>0</v>
      </c>
      <c r="W54" s="4">
        <f>U54*S54</f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43">
        <v>0.58333333333333337</v>
      </c>
      <c r="J55" s="4">
        <v>90</v>
      </c>
      <c r="K55" s="43"/>
      <c r="L55" s="45">
        <v>0.52083333333333337</v>
      </c>
      <c r="M55" s="43">
        <v>0.58333333333333337</v>
      </c>
      <c r="N55" s="4">
        <v>90</v>
      </c>
      <c r="O55" s="6" t="s">
        <v>26</v>
      </c>
      <c r="P55" s="4" t="s">
        <v>192</v>
      </c>
      <c r="Q55" s="4"/>
      <c r="R55" s="4"/>
      <c r="S55" s="4"/>
      <c r="T55" s="48">
        <v>30</v>
      </c>
      <c r="U55" s="4">
        <v>48</v>
      </c>
      <c r="V55" s="4">
        <f>T55*S55</f>
        <v>0</v>
      </c>
      <c r="W55" s="4">
        <f>U55*S55</f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45">
        <v>0.35416666666666669</v>
      </c>
      <c r="I56" s="43">
        <v>0.375</v>
      </c>
      <c r="J56" s="4">
        <v>30</v>
      </c>
      <c r="K56" s="43"/>
      <c r="L56" s="45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8">
        <v>30</v>
      </c>
      <c r="U56" s="4">
        <v>48</v>
      </c>
      <c r="V56" s="4">
        <f>T56*S56</f>
        <v>0</v>
      </c>
      <c r="W56" s="4">
        <f>U56*S56</f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43">
        <v>0.47916666666666669</v>
      </c>
      <c r="J57" s="4">
        <v>90</v>
      </c>
      <c r="K57" s="43"/>
      <c r="L57" s="45">
        <v>0.41666666666666669</v>
      </c>
      <c r="M57" s="43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8">
        <v>30</v>
      </c>
      <c r="U57" s="4">
        <v>48</v>
      </c>
      <c r="V57" s="4">
        <f>T57*S57</f>
        <v>0</v>
      </c>
      <c r="W57" s="4">
        <f>U57*S57</f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43">
        <v>0.35416666666666669</v>
      </c>
      <c r="I58" s="43">
        <v>0.45833333333333331</v>
      </c>
      <c r="J58" s="4">
        <v>150</v>
      </c>
      <c r="K58" s="43"/>
      <c r="L58" s="43">
        <v>0.35416666666666669</v>
      </c>
      <c r="M58" s="43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4"/>
      <c r="T58" s="48">
        <v>30</v>
      </c>
      <c r="U58" s="4">
        <v>48</v>
      </c>
      <c r="V58" s="4">
        <f>T58*S58</f>
        <v>0</v>
      </c>
      <c r="W58" s="4">
        <f>U58*S58</f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45">
        <v>0.63194444444444442</v>
      </c>
      <c r="I59" s="43">
        <v>0.73611111111111116</v>
      </c>
      <c r="J59" s="4">
        <v>150</v>
      </c>
      <c r="K59" s="43"/>
      <c r="L59" s="45">
        <v>0.63194444444444442</v>
      </c>
      <c r="M59" s="43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4"/>
      <c r="T59" s="48">
        <v>30</v>
      </c>
      <c r="U59" s="4">
        <v>48</v>
      </c>
      <c r="V59" s="4">
        <f>T59*S59</f>
        <v>0</v>
      </c>
      <c r="W59" s="4">
        <f>U59*S59</f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45">
        <v>0.32291666666666669</v>
      </c>
      <c r="I60" s="43">
        <v>0.375</v>
      </c>
      <c r="J60" s="4">
        <v>75</v>
      </c>
      <c r="K60" s="43"/>
      <c r="L60" s="45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8">
        <v>30</v>
      </c>
      <c r="U60" s="4">
        <v>48</v>
      </c>
      <c r="V60" s="4">
        <f>T60*S60</f>
        <v>0</v>
      </c>
      <c r="W60" s="4">
        <f>U60*S60</f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4"/>
      <c r="R61" s="4"/>
      <c r="S61" s="4"/>
      <c r="T61" s="48">
        <v>30</v>
      </c>
      <c r="U61" s="4">
        <v>48</v>
      </c>
      <c r="V61" s="4">
        <f>T61*S61</f>
        <v>0</v>
      </c>
      <c r="W61" s="4">
        <f>U61*S61</f>
        <v>0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4"/>
      <c r="T62" s="48">
        <v>30</v>
      </c>
      <c r="U62" s="4">
        <v>48</v>
      </c>
      <c r="V62" s="4">
        <f>T62*S62</f>
        <v>0</v>
      </c>
      <c r="W62" s="4">
        <f>U62*S62</f>
        <v>0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43">
        <v>0.47222222222222221</v>
      </c>
      <c r="J63" s="4">
        <v>20</v>
      </c>
      <c r="K63" s="43"/>
      <c r="L63" s="43">
        <v>0.45833333333333331</v>
      </c>
      <c r="M63" s="43">
        <v>0.47222222222222221</v>
      </c>
      <c r="N63" s="4">
        <v>20</v>
      </c>
      <c r="O63" s="4" t="s">
        <v>181</v>
      </c>
      <c r="P63" s="4" t="s">
        <v>239</v>
      </c>
      <c r="Q63" s="4"/>
      <c r="R63" s="4"/>
      <c r="S63" s="4"/>
      <c r="T63" s="48">
        <v>30</v>
      </c>
      <c r="U63" s="4">
        <v>48</v>
      </c>
      <c r="V63" s="4">
        <f>T63*S63</f>
        <v>0</v>
      </c>
      <c r="W63" s="4">
        <f>U63*S63</f>
        <v>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45">
        <v>0.45833333333333331</v>
      </c>
      <c r="I64" s="43">
        <v>0.54166666666666663</v>
      </c>
      <c r="J64" s="4">
        <v>120</v>
      </c>
      <c r="K64" s="43"/>
      <c r="L64" s="45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4"/>
      <c r="T64" s="48">
        <v>30</v>
      </c>
      <c r="U64" s="4">
        <v>48</v>
      </c>
      <c r="V64" s="4">
        <f>T64*S64</f>
        <v>0</v>
      </c>
      <c r="W64" s="4">
        <f>U64*S64</f>
        <v>0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43">
        <v>0.54166666666666663</v>
      </c>
      <c r="J65" s="4">
        <v>60</v>
      </c>
      <c r="K65" s="43"/>
      <c r="L65" s="43">
        <v>0.5</v>
      </c>
      <c r="M65" s="43">
        <v>0.54166666666666663</v>
      </c>
      <c r="N65" s="4">
        <v>60</v>
      </c>
      <c r="O65" s="4" t="s">
        <v>26</v>
      </c>
      <c r="P65" s="4" t="s">
        <v>596</v>
      </c>
      <c r="Q65" s="4"/>
      <c r="R65" s="4"/>
      <c r="S65" s="4"/>
      <c r="T65" s="48">
        <v>30</v>
      </c>
      <c r="U65" s="4">
        <v>48</v>
      </c>
      <c r="V65" s="4">
        <f>T65*S65</f>
        <v>0</v>
      </c>
      <c r="W65" s="4">
        <f>U65*S65</f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45">
        <v>0.52083333333333337</v>
      </c>
      <c r="I66" s="43">
        <v>0.59027777777777779</v>
      </c>
      <c r="J66" s="4">
        <v>100</v>
      </c>
      <c r="K66" s="43"/>
      <c r="L66" s="45">
        <v>0.52083333333333337</v>
      </c>
      <c r="M66" s="43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8">
        <v>40</v>
      </c>
      <c r="U66" s="4">
        <v>48</v>
      </c>
      <c r="V66" s="4">
        <f>T66*S66</f>
        <v>0</v>
      </c>
      <c r="W66" s="4">
        <f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45">
        <v>0.4375</v>
      </c>
      <c r="I67" s="43">
        <v>0.46527777777777779</v>
      </c>
      <c r="J67" s="4">
        <v>40</v>
      </c>
      <c r="K67" s="43"/>
      <c r="L67" s="45">
        <v>0.4375</v>
      </c>
      <c r="M67" s="43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8">
        <v>40</v>
      </c>
      <c r="U67" s="4">
        <v>48</v>
      </c>
      <c r="V67" s="4">
        <f>T67*S67</f>
        <v>0</v>
      </c>
      <c r="W67" s="4">
        <f>U67*S67</f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45">
        <v>0.625</v>
      </c>
      <c r="I68" s="43">
        <v>0.64583333333333337</v>
      </c>
      <c r="J68" s="4">
        <v>30</v>
      </c>
      <c r="K68" s="43"/>
      <c r="L68" s="45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8">
        <v>40</v>
      </c>
      <c r="U68" s="4">
        <v>48</v>
      </c>
      <c r="V68" s="4">
        <f>T68*S68</f>
        <v>0</v>
      </c>
      <c r="W68" s="4">
        <f>U68*S68</f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43">
        <v>0.75</v>
      </c>
      <c r="J69" s="4">
        <v>90</v>
      </c>
      <c r="K69" s="43"/>
      <c r="L69" s="45">
        <v>0.6875</v>
      </c>
      <c r="M69" s="43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8">
        <v>40</v>
      </c>
      <c r="U69" s="4">
        <v>48</v>
      </c>
      <c r="V69" s="4">
        <f>T69*S69</f>
        <v>0</v>
      </c>
      <c r="W69" s="4">
        <f>U69*S69</f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45">
        <v>0.50694444444444442</v>
      </c>
      <c r="I70" s="43">
        <v>0.61111111111111105</v>
      </c>
      <c r="J70" s="4">
        <v>150</v>
      </c>
      <c r="K70" s="43"/>
      <c r="L70" s="45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8">
        <v>25</v>
      </c>
      <c r="U70" s="4">
        <v>48</v>
      </c>
      <c r="V70" s="4">
        <f>T70*S70</f>
        <v>0</v>
      </c>
      <c r="W70" s="4">
        <f>U70*S70</f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8">
        <v>25</v>
      </c>
      <c r="U71" s="4">
        <v>48</v>
      </c>
      <c r="V71" s="4">
        <f>T71*S71</f>
        <v>0</v>
      </c>
      <c r="W71" s="4">
        <f>U71*S71</f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43">
        <v>0.64583333333333337</v>
      </c>
      <c r="J72" s="4">
        <v>40</v>
      </c>
      <c r="K72" s="43"/>
      <c r="L72" s="45">
        <v>0.61805555555555558</v>
      </c>
      <c r="M72" s="43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8">
        <v>25</v>
      </c>
      <c r="U72" s="4">
        <v>48</v>
      </c>
      <c r="V72" s="4">
        <f>T72*S72</f>
        <v>0</v>
      </c>
      <c r="W72" s="4">
        <f>U72*S72</f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45">
        <v>0.41666666666666669</v>
      </c>
      <c r="I73" s="43">
        <v>0.45833333333333337</v>
      </c>
      <c r="J73" s="4">
        <v>60</v>
      </c>
      <c r="K73" s="43"/>
      <c r="L73" s="45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8">
        <v>25</v>
      </c>
      <c r="U73" s="4">
        <v>48</v>
      </c>
      <c r="V73" s="4">
        <f>T73*S73</f>
        <v>0</v>
      </c>
      <c r="W73" s="4">
        <f>U73*S73</f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43">
        <v>0.5</v>
      </c>
      <c r="J74" s="4">
        <v>60</v>
      </c>
      <c r="K74" s="43"/>
      <c r="L74" s="45">
        <v>0.45833333333333331</v>
      </c>
      <c r="M74" s="43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8">
        <v>25</v>
      </c>
      <c r="U74" s="4">
        <v>48</v>
      </c>
      <c r="V74" s="4">
        <f>T74*S74</f>
        <v>0</v>
      </c>
      <c r="W74" s="4">
        <f>U74*S74</f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43">
        <v>0.41666666666666669</v>
      </c>
      <c r="I75" s="43">
        <v>0.45833333333333331</v>
      </c>
      <c r="J75" s="4">
        <v>60</v>
      </c>
      <c r="K75" s="43"/>
      <c r="L75" s="43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8">
        <v>25</v>
      </c>
      <c r="U75" s="4">
        <v>48</v>
      </c>
      <c r="V75" s="4">
        <f>T75*S75</f>
        <v>0</v>
      </c>
      <c r="W75" s="4">
        <f>U75*S75</f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43">
        <v>0.47916666666666669</v>
      </c>
      <c r="J76" s="4">
        <v>30</v>
      </c>
      <c r="K76" s="43"/>
      <c r="L76" s="43">
        <v>0.45833333333333331</v>
      </c>
      <c r="M76" s="43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8">
        <v>25</v>
      </c>
      <c r="U76" s="4">
        <v>48</v>
      </c>
      <c r="V76" s="4">
        <f>T76*S76</f>
        <v>0</v>
      </c>
      <c r="W76" s="4">
        <f>U76*S76</f>
        <v>0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43">
        <v>0.5</v>
      </c>
      <c r="I77" s="43">
        <v>0.54166666666666663</v>
      </c>
      <c r="J77" s="4">
        <v>60</v>
      </c>
      <c r="K77" s="43"/>
      <c r="L77" s="43">
        <v>0.5</v>
      </c>
      <c r="M77" s="43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4"/>
      <c r="T77" s="48">
        <v>25</v>
      </c>
      <c r="U77" s="4">
        <v>48</v>
      </c>
      <c r="V77" s="4">
        <f>T77*S77</f>
        <v>0</v>
      </c>
      <c r="W77" s="4">
        <f>U77*S77</f>
        <v>0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45">
        <v>0.5625</v>
      </c>
      <c r="I78" s="43">
        <v>0.57291666666666663</v>
      </c>
      <c r="J78" s="4">
        <v>15</v>
      </c>
      <c r="K78" s="43"/>
      <c r="L78" s="45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4"/>
      <c r="T78" s="48">
        <v>25</v>
      </c>
      <c r="U78" s="4">
        <v>48</v>
      </c>
      <c r="V78" s="4">
        <f>T78*S78</f>
        <v>0</v>
      </c>
      <c r="W78" s="4">
        <f>U78*S78</f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4"/>
      <c r="T79" s="48">
        <v>25</v>
      </c>
      <c r="U79" s="4">
        <v>48</v>
      </c>
      <c r="V79" s="4">
        <f>T79*S79</f>
        <v>0</v>
      </c>
      <c r="W79" s="4">
        <f>U79*S79</f>
        <v>0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43">
        <v>0.625</v>
      </c>
      <c r="J80" s="4">
        <v>40</v>
      </c>
      <c r="K80" s="43"/>
      <c r="L80" s="43">
        <v>0.59722222222222221</v>
      </c>
      <c r="M80" s="43">
        <v>0.625</v>
      </c>
      <c r="N80" s="4">
        <v>40</v>
      </c>
      <c r="O80" s="6" t="s">
        <v>74</v>
      </c>
      <c r="P80" s="4" t="s">
        <v>91</v>
      </c>
      <c r="Q80" s="4"/>
      <c r="R80" s="4"/>
      <c r="S80" s="4"/>
      <c r="T80" s="48">
        <v>25</v>
      </c>
      <c r="U80" s="4">
        <v>48</v>
      </c>
      <c r="V80" s="4">
        <f>T80*S80</f>
        <v>0</v>
      </c>
      <c r="W80" s="4">
        <f>U80*S80</f>
        <v>0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45">
        <v>0.5625</v>
      </c>
      <c r="I81" s="43">
        <v>0.57291666666666663</v>
      </c>
      <c r="J81" s="4">
        <v>15</v>
      </c>
      <c r="K81" s="43"/>
      <c r="L81" s="45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8">
        <v>25</v>
      </c>
      <c r="U81" s="4">
        <v>48</v>
      </c>
      <c r="V81" s="4">
        <f>T81*S81</f>
        <v>0</v>
      </c>
      <c r="W81" s="4">
        <f>U81*S81</f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43">
        <v>0.625</v>
      </c>
      <c r="J82" s="4">
        <v>60</v>
      </c>
      <c r="K82" s="43"/>
      <c r="L82" s="45">
        <v>0.58333333333333337</v>
      </c>
      <c r="M82" s="43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8">
        <v>25</v>
      </c>
      <c r="U82" s="4">
        <v>48</v>
      </c>
      <c r="V82" s="4">
        <f>T82*S82</f>
        <v>0</v>
      </c>
      <c r="W82" s="4">
        <f>U82*S82</f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45">
        <v>0.5625</v>
      </c>
      <c r="I83" s="43">
        <v>0.58333333333333337</v>
      </c>
      <c r="J83" s="4">
        <v>30</v>
      </c>
      <c r="K83" s="43"/>
      <c r="L83" s="45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8">
        <v>25</v>
      </c>
      <c r="U83" s="4">
        <v>48</v>
      </c>
      <c r="V83" s="4">
        <f>T83*S83</f>
        <v>0</v>
      </c>
      <c r="W83" s="4">
        <f>U83*S83</f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43">
        <v>0.61458333333333337</v>
      </c>
      <c r="J84" s="4">
        <v>45</v>
      </c>
      <c r="K84" s="43"/>
      <c r="L84" s="45">
        <v>0.58333333333333337</v>
      </c>
      <c r="M84" s="43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8">
        <v>25</v>
      </c>
      <c r="U84" s="4">
        <v>48</v>
      </c>
      <c r="V84" s="4">
        <f>T84*S84</f>
        <v>0</v>
      </c>
      <c r="W84" s="4">
        <f>U84*S84</f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45">
        <v>0.52777777777777779</v>
      </c>
      <c r="I85" s="43">
        <v>0.63194444444444442</v>
      </c>
      <c r="J85" s="4">
        <v>150</v>
      </c>
      <c r="K85" s="43"/>
      <c r="L85" s="45">
        <v>0.52777777777777779</v>
      </c>
      <c r="M85" s="43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8">
        <v>25</v>
      </c>
      <c r="U85" s="4">
        <v>48</v>
      </c>
      <c r="V85" s="4">
        <f>T85*S85</f>
        <v>0</v>
      </c>
      <c r="W85" s="4">
        <f>U85*S85</f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43">
        <v>0.41666666666666669</v>
      </c>
      <c r="I86" s="43">
        <v>0.45833333333333337</v>
      </c>
      <c r="J86" s="4">
        <v>60</v>
      </c>
      <c r="K86" s="43"/>
      <c r="L86" s="43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4"/>
      <c r="T86" s="48">
        <v>28</v>
      </c>
      <c r="U86" s="4">
        <v>48</v>
      </c>
      <c r="V86" s="4">
        <f>T86*S86</f>
        <v>0</v>
      </c>
      <c r="W86" s="4">
        <f>U86*S86</f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4"/>
      <c r="T87" s="48">
        <v>28</v>
      </c>
      <c r="U87" s="4">
        <v>48</v>
      </c>
      <c r="V87" s="4">
        <f>T87*S87</f>
        <v>0</v>
      </c>
      <c r="W87" s="4">
        <f>U87*S87</f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4"/>
      <c r="R88" s="4"/>
      <c r="S88" s="4"/>
      <c r="T88" s="48">
        <v>28</v>
      </c>
      <c r="U88" s="4">
        <v>48</v>
      </c>
      <c r="V88" s="4">
        <f>T88*S88</f>
        <v>0</v>
      </c>
      <c r="W88" s="4">
        <f>U88*S88</f>
        <v>0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4"/>
      <c r="R89" s="4"/>
      <c r="S89" s="4"/>
      <c r="T89" s="48">
        <v>28</v>
      </c>
      <c r="U89" s="4">
        <v>48</v>
      </c>
      <c r="V89" s="4">
        <f>T89*S89</f>
        <v>0</v>
      </c>
      <c r="W89" s="4">
        <f>U89*S89</f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4"/>
      <c r="T90" s="48">
        <v>28</v>
      </c>
      <c r="U90" s="4">
        <v>48</v>
      </c>
      <c r="V90" s="4">
        <f>T90*S90</f>
        <v>0</v>
      </c>
      <c r="W90" s="4">
        <f>U90*S90</f>
        <v>0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4"/>
      <c r="T91" s="48">
        <v>28</v>
      </c>
      <c r="U91" s="4">
        <v>48</v>
      </c>
      <c r="V91" s="4">
        <f>T91*S91</f>
        <v>0</v>
      </c>
      <c r="W91" s="4">
        <f>U91*S91</f>
        <v>0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9"/>
      <c r="R92" s="9"/>
      <c r="S92" s="9"/>
      <c r="T92" s="49">
        <v>28</v>
      </c>
      <c r="U92" s="9">
        <v>48</v>
      </c>
      <c r="V92" s="4">
        <f>T92*S92</f>
        <v>0</v>
      </c>
      <c r="W92" s="4">
        <f>U92*S92</f>
        <v>0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46">
        <v>0.70833333333333337</v>
      </c>
      <c r="J93" s="9">
        <v>60</v>
      </c>
      <c r="K93" s="44"/>
      <c r="L93" s="46">
        <v>0.66666666666666663</v>
      </c>
      <c r="M93" s="4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9"/>
      <c r="T93" s="49">
        <v>28</v>
      </c>
      <c r="U93" s="9">
        <v>48</v>
      </c>
      <c r="V93" s="4">
        <f>T93*S93</f>
        <v>0</v>
      </c>
      <c r="W93" s="4">
        <f>U93*S93</f>
        <v>0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43">
        <v>0.36458333333333331</v>
      </c>
      <c r="I94" s="43">
        <v>0.375</v>
      </c>
      <c r="J94" s="4">
        <v>15</v>
      </c>
      <c r="K94" s="43"/>
      <c r="L94" s="43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4"/>
      <c r="T94" s="48">
        <v>28</v>
      </c>
      <c r="U94" s="4">
        <v>48</v>
      </c>
      <c r="V94" s="4">
        <f>T94*S94</f>
        <v>0</v>
      </c>
      <c r="W94" s="4">
        <f>U94*S94</f>
        <v>0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43">
        <v>0.41666666666666669</v>
      </c>
      <c r="J95" s="4">
        <v>60</v>
      </c>
      <c r="K95" s="43"/>
      <c r="L95" s="43">
        <v>0.375</v>
      </c>
      <c r="M95" s="43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4"/>
      <c r="T95" s="48">
        <v>28</v>
      </c>
      <c r="U95" s="4">
        <v>48</v>
      </c>
      <c r="V95" s="4">
        <f>T95*S95</f>
        <v>0</v>
      </c>
      <c r="W95" s="4">
        <f>U95*S95</f>
        <v>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45">
        <v>0.38541666666666669</v>
      </c>
      <c r="I96" s="43">
        <v>0.41666666666666669</v>
      </c>
      <c r="J96" s="4">
        <v>45</v>
      </c>
      <c r="K96" s="43"/>
      <c r="L96" s="45">
        <v>0.38541666666666669</v>
      </c>
      <c r="M96" s="43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4"/>
      <c r="T96" s="48">
        <v>28</v>
      </c>
      <c r="U96" s="4">
        <v>48</v>
      </c>
      <c r="V96" s="4">
        <f>T96*S96</f>
        <v>0</v>
      </c>
      <c r="W96" s="4">
        <f>U96*S96</f>
        <v>0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46">
        <v>0.48958333333333331</v>
      </c>
      <c r="I97" s="46">
        <v>0.52083333333333337</v>
      </c>
      <c r="J97" s="9">
        <v>45</v>
      </c>
      <c r="K97" s="44"/>
      <c r="L97" s="46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9"/>
      <c r="T97" s="49">
        <v>28</v>
      </c>
      <c r="U97" s="9">
        <v>48</v>
      </c>
      <c r="V97" s="4">
        <f>T97*S97</f>
        <v>0</v>
      </c>
      <c r="W97" s="4">
        <f>U97*S97</f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9"/>
      <c r="R98" s="9"/>
      <c r="S98" s="9"/>
      <c r="T98" s="49">
        <v>28</v>
      </c>
      <c r="U98" s="9">
        <v>48</v>
      </c>
      <c r="V98" s="4">
        <f>T98*S98</f>
        <v>0</v>
      </c>
      <c r="W98" s="4">
        <f>U98*S98</f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9"/>
      <c r="T99" s="49">
        <v>28</v>
      </c>
      <c r="U99" s="9">
        <v>48</v>
      </c>
      <c r="V99" s="4">
        <f>T99*S99</f>
        <v>0</v>
      </c>
      <c r="W99" s="4">
        <f>U99*S99</f>
        <v>0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4"/>
      <c r="T100" s="48">
        <v>28</v>
      </c>
      <c r="U100" s="4">
        <v>48</v>
      </c>
      <c r="V100" s="4">
        <f>T100*S100</f>
        <v>0</v>
      </c>
      <c r="W100" s="4">
        <f>U100*S100</f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43">
        <v>0.65625</v>
      </c>
      <c r="J101" s="4">
        <v>45</v>
      </c>
      <c r="K101" s="43"/>
      <c r="L101" s="43">
        <v>0.625</v>
      </c>
      <c r="M101" s="43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8">
        <v>28</v>
      </c>
      <c r="U101" s="4">
        <v>48</v>
      </c>
      <c r="V101" s="4">
        <f>T101*S101</f>
        <v>0</v>
      </c>
      <c r="W101" s="4">
        <f>U101*S101</f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43">
        <v>0.58680555555555558</v>
      </c>
      <c r="I102" s="43">
        <v>0.60763888888888884</v>
      </c>
      <c r="J102" s="4">
        <v>30</v>
      </c>
      <c r="K102" s="43"/>
      <c r="L102" s="43">
        <v>0.58680555555555558</v>
      </c>
      <c r="M102" s="43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4"/>
      <c r="T102" s="48">
        <v>28</v>
      </c>
      <c r="U102" s="4">
        <v>48</v>
      </c>
      <c r="V102" s="4">
        <f>T102*S102</f>
        <v>0</v>
      </c>
      <c r="W102" s="4">
        <f>U102*S102</f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43">
        <v>0.35416666666666669</v>
      </c>
      <c r="I103" s="43">
        <v>0.375</v>
      </c>
      <c r="J103" s="4">
        <v>30</v>
      </c>
      <c r="K103" s="43"/>
      <c r="L103" s="43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4"/>
      <c r="T103" s="48">
        <v>28</v>
      </c>
      <c r="U103" s="4">
        <v>48</v>
      </c>
      <c r="V103" s="4">
        <f>T103*S103</f>
        <v>0</v>
      </c>
      <c r="W103" s="4">
        <f>U103*S103</f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43">
        <v>0.39583333333333331</v>
      </c>
      <c r="J104" s="4">
        <v>15</v>
      </c>
      <c r="K104" s="43"/>
      <c r="L104" s="43">
        <v>0.38541666666666669</v>
      </c>
      <c r="M104" s="43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4"/>
      <c r="T104" s="48">
        <v>28</v>
      </c>
      <c r="U104" s="4">
        <v>48</v>
      </c>
      <c r="V104" s="4">
        <f>T104*S104</f>
        <v>0</v>
      </c>
      <c r="W104" s="4">
        <f>U104*S104</f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43">
        <v>0.54166666666666663</v>
      </c>
      <c r="I105" s="43">
        <v>0.58333333333333337</v>
      </c>
      <c r="J105" s="4">
        <v>60</v>
      </c>
      <c r="K105" s="43"/>
      <c r="L105" s="43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4"/>
      <c r="T105" s="48">
        <v>28</v>
      </c>
      <c r="U105" s="4">
        <v>48</v>
      </c>
      <c r="V105" s="4">
        <f>T105*S105</f>
        <v>0</v>
      </c>
      <c r="W105" s="4">
        <f>U105*S105</f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43">
        <v>0.59375</v>
      </c>
      <c r="J106" s="4">
        <v>15</v>
      </c>
      <c r="K106" s="43"/>
      <c r="L106" s="43">
        <v>0.58333333333333337</v>
      </c>
      <c r="M106" s="43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4"/>
      <c r="T106" s="48">
        <v>28</v>
      </c>
      <c r="U106" s="4">
        <v>48</v>
      </c>
      <c r="V106" s="4">
        <f>T106*S106</f>
        <v>0</v>
      </c>
      <c r="W106" s="4">
        <f>U106*S106</f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45">
        <v>0.66666666666666663</v>
      </c>
      <c r="I107" s="43">
        <v>0.71527777777777779</v>
      </c>
      <c r="J107" s="4">
        <v>70</v>
      </c>
      <c r="K107" s="43"/>
      <c r="L107" s="45">
        <v>0.66666666666666663</v>
      </c>
      <c r="M107" s="43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8">
        <v>30</v>
      </c>
      <c r="U107" s="4">
        <v>48</v>
      </c>
      <c r="V107" s="4">
        <f>T107*S107</f>
        <v>0</v>
      </c>
      <c r="W107" s="4">
        <f>U107*S107</f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43">
        <v>0.27083333333333331</v>
      </c>
      <c r="I108" s="43">
        <v>0.39583333333333331</v>
      </c>
      <c r="J108" s="4">
        <v>240</v>
      </c>
      <c r="K108" s="43"/>
      <c r="L108" s="43">
        <v>0.27083333333333331</v>
      </c>
      <c r="M108" s="43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8">
        <v>30</v>
      </c>
      <c r="U108" s="4">
        <v>48</v>
      </c>
      <c r="V108" s="4">
        <f>T108*S108</f>
        <v>0</v>
      </c>
      <c r="W108" s="4">
        <f>U108*S108</f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43">
        <v>0.52083333333333337</v>
      </c>
      <c r="I109" s="43">
        <v>0.54166666666666663</v>
      </c>
      <c r="J109" s="4">
        <v>30</v>
      </c>
      <c r="K109" s="43"/>
      <c r="L109" s="43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8">
        <v>30</v>
      </c>
      <c r="U109" s="4">
        <v>48</v>
      </c>
      <c r="V109" s="4">
        <f>T109*S109</f>
        <v>0</v>
      </c>
      <c r="W109" s="4">
        <f>U109*S109</f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8">
        <v>30</v>
      </c>
      <c r="U110" s="4">
        <v>48</v>
      </c>
      <c r="V110" s="4">
        <f>T110*S110</f>
        <v>0</v>
      </c>
      <c r="W110" s="4">
        <f>U110*S110</f>
        <v>0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4"/>
      <c r="R111" s="4"/>
      <c r="S111" s="4"/>
      <c r="T111" s="48">
        <v>30</v>
      </c>
      <c r="U111" s="4">
        <v>48</v>
      </c>
      <c r="V111" s="4">
        <f>T111*S111</f>
        <v>0</v>
      </c>
      <c r="W111" s="4">
        <f>U111*S111</f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43">
        <v>0.60416666666666674</v>
      </c>
      <c r="J112" s="4">
        <v>30</v>
      </c>
      <c r="K112" s="43"/>
      <c r="L112" s="43">
        <v>0.58333333333333337</v>
      </c>
      <c r="M112" s="43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4"/>
      <c r="T112" s="48">
        <v>30</v>
      </c>
      <c r="U112" s="4">
        <v>48</v>
      </c>
      <c r="V112" s="4">
        <f>T112*S112</f>
        <v>0</v>
      </c>
      <c r="W112" s="4">
        <f>U112*S112</f>
        <v>0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43">
        <v>0.625</v>
      </c>
      <c r="I113" s="43">
        <v>0.64583333333333337</v>
      </c>
      <c r="J113" s="4">
        <v>30</v>
      </c>
      <c r="K113" s="43"/>
      <c r="L113" s="43">
        <v>0.625</v>
      </c>
      <c r="M113" s="43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8">
        <v>30</v>
      </c>
      <c r="U113" s="4">
        <v>48</v>
      </c>
      <c r="V113" s="4">
        <f>T113*S113</f>
        <v>0</v>
      </c>
      <c r="W113" s="4">
        <f>U113*S113</f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45">
        <v>0.61111111111111105</v>
      </c>
      <c r="I114" s="43">
        <v>0.64583333333333326</v>
      </c>
      <c r="J114" s="4">
        <v>50</v>
      </c>
      <c r="K114" s="43"/>
      <c r="L114" s="45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8">
        <v>33</v>
      </c>
      <c r="U114" s="4">
        <v>48</v>
      </c>
      <c r="V114" s="4">
        <f>T114*S114</f>
        <v>0</v>
      </c>
      <c r="W114" s="4">
        <f>U114*S114</f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43">
        <v>0.6875</v>
      </c>
      <c r="J115" s="4">
        <v>60</v>
      </c>
      <c r="K115" s="43"/>
      <c r="L115" s="45">
        <v>0.64583333333333337</v>
      </c>
      <c r="M115" s="43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8">
        <v>33</v>
      </c>
      <c r="U115" s="4">
        <v>48</v>
      </c>
      <c r="V115" s="4">
        <f>T115*S115</f>
        <v>0</v>
      </c>
      <c r="W115" s="4">
        <f>U115*S115</f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43">
        <v>0.5625</v>
      </c>
      <c r="I116" s="43">
        <v>0.60416666666666663</v>
      </c>
      <c r="J116" s="4">
        <v>60</v>
      </c>
      <c r="K116" s="43"/>
      <c r="L116" s="43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4"/>
      <c r="T116" s="48">
        <v>33</v>
      </c>
      <c r="U116" s="4">
        <v>48</v>
      </c>
      <c r="V116" s="4">
        <f>T116*S116</f>
        <v>0</v>
      </c>
      <c r="W116" s="4">
        <f>U116*S116</f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43">
        <v>0.70833333333333326</v>
      </c>
      <c r="J117" s="4">
        <v>150</v>
      </c>
      <c r="K117" s="43"/>
      <c r="L117" s="43">
        <v>0.60416666666666663</v>
      </c>
      <c r="M117" s="43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4"/>
      <c r="T117" s="48">
        <v>33</v>
      </c>
      <c r="U117" s="4">
        <v>48</v>
      </c>
      <c r="V117" s="4">
        <f>T117*S117</f>
        <v>0</v>
      </c>
      <c r="W117" s="4">
        <f>U117*S117</f>
        <v>0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45">
        <v>0.41666666666666669</v>
      </c>
      <c r="I118" s="43">
        <v>0.44444444444444448</v>
      </c>
      <c r="J118" s="4">
        <v>40</v>
      </c>
      <c r="K118" s="43"/>
      <c r="L118" s="45">
        <v>0.41666666666666669</v>
      </c>
      <c r="M118" s="43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4"/>
      <c r="T118" s="48">
        <v>33</v>
      </c>
      <c r="U118" s="4">
        <v>48</v>
      </c>
      <c r="V118" s="4">
        <f>T118*S118</f>
        <v>0</v>
      </c>
      <c r="W118" s="4">
        <f>U118*S118</f>
        <v>0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45">
        <v>0.43055555555555558</v>
      </c>
      <c r="I119" s="43">
        <v>0.45833333333333337</v>
      </c>
      <c r="J119" s="4">
        <v>40</v>
      </c>
      <c r="K119" s="43"/>
      <c r="L119" s="45">
        <v>0.43055555555555558</v>
      </c>
      <c r="M119" s="43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8">
        <v>33</v>
      </c>
      <c r="U119" s="4">
        <v>48</v>
      </c>
      <c r="V119" s="4">
        <f>T119*S119</f>
        <v>0</v>
      </c>
      <c r="W119" s="4">
        <f>U119*S119</f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45">
        <v>0.66666666666666663</v>
      </c>
      <c r="I120" s="43">
        <v>0.6875</v>
      </c>
      <c r="J120" s="4">
        <v>30</v>
      </c>
      <c r="K120" s="43"/>
      <c r="L120" s="45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8">
        <v>32</v>
      </c>
      <c r="U120" s="4">
        <v>48</v>
      </c>
      <c r="V120" s="4">
        <f>T120*S120</f>
        <v>0</v>
      </c>
      <c r="W120" s="4">
        <f>U120*S120</f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43">
        <v>0.70833333333333337</v>
      </c>
      <c r="J121" s="4">
        <v>30</v>
      </c>
      <c r="K121" s="43"/>
      <c r="L121" s="45">
        <v>0.6875</v>
      </c>
      <c r="M121" s="43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8">
        <v>32</v>
      </c>
      <c r="U121" s="4">
        <v>48</v>
      </c>
      <c r="V121" s="4">
        <f>T121*S121</f>
        <v>0</v>
      </c>
      <c r="W121" s="4">
        <f>U121*S121</f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45">
        <v>0.61458333333333337</v>
      </c>
      <c r="I122" s="43">
        <v>0.65625</v>
      </c>
      <c r="J122" s="4">
        <v>60</v>
      </c>
      <c r="K122" s="43"/>
      <c r="L122" s="45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8">
        <v>40</v>
      </c>
      <c r="U122" s="4">
        <v>48</v>
      </c>
      <c r="V122" s="4">
        <f>T122*S122</f>
        <v>0</v>
      </c>
      <c r="W122" s="4">
        <f>U122*S122</f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43">
        <v>0.67708333333333337</v>
      </c>
      <c r="J123" s="4">
        <v>30</v>
      </c>
      <c r="K123" s="43"/>
      <c r="L123" s="45">
        <v>0.65625</v>
      </c>
      <c r="M123" s="43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8">
        <v>40</v>
      </c>
      <c r="U123" s="4">
        <v>48</v>
      </c>
      <c r="V123" s="4">
        <f>T123*S123</f>
        <v>0</v>
      </c>
      <c r="W123" s="4">
        <f>U123*S123</f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45">
        <v>0.41666666666666669</v>
      </c>
      <c r="I124" s="43">
        <v>0.47916666666666669</v>
      </c>
      <c r="J124" s="4">
        <v>90</v>
      </c>
      <c r="K124" s="43"/>
      <c r="L124" s="45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8">
        <v>37</v>
      </c>
      <c r="U124" s="4">
        <v>48</v>
      </c>
      <c r="V124" s="4">
        <f>T124*S124</f>
        <v>0</v>
      </c>
      <c r="W124" s="4">
        <f>U124*S124</f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8">
        <v>37</v>
      </c>
      <c r="U125" s="4">
        <v>48</v>
      </c>
      <c r="V125" s="4">
        <f>T125*S125</f>
        <v>0</v>
      </c>
      <c r="W125" s="4">
        <f>U125*S125</f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43">
        <v>0.5625</v>
      </c>
      <c r="J126" s="4">
        <v>15</v>
      </c>
      <c r="K126" s="43"/>
      <c r="L126" s="45">
        <v>0.55208333333333337</v>
      </c>
      <c r="M126" s="43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8">
        <v>37</v>
      </c>
      <c r="U126" s="4">
        <v>48</v>
      </c>
      <c r="V126" s="4">
        <f>T126*S126</f>
        <v>0</v>
      </c>
      <c r="W126" s="4">
        <f>U126*S126</f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45">
        <v>0.58333333333333337</v>
      </c>
      <c r="I127" s="43">
        <v>0.625</v>
      </c>
      <c r="J127" s="4">
        <v>60</v>
      </c>
      <c r="K127" s="43"/>
      <c r="L127" s="45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8">
        <v>37</v>
      </c>
      <c r="U127" s="4">
        <v>48</v>
      </c>
      <c r="V127" s="4">
        <f>T127*S127</f>
        <v>0</v>
      </c>
      <c r="W127" s="4">
        <f>U127*S127</f>
        <v>0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43">
        <v>0.65625</v>
      </c>
      <c r="J128" s="4">
        <v>45</v>
      </c>
      <c r="K128" s="43"/>
      <c r="L128" s="45">
        <v>0.625</v>
      </c>
      <c r="M128" s="43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4"/>
      <c r="T128" s="48">
        <v>37</v>
      </c>
      <c r="U128" s="4">
        <v>48</v>
      </c>
      <c r="V128" s="4">
        <f>T128*S128</f>
        <v>0</v>
      </c>
      <c r="W128" s="4">
        <f>U128*S128</f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45">
        <v>0.625</v>
      </c>
      <c r="I129" s="43">
        <v>0.64583333333333337</v>
      </c>
      <c r="J129" s="4">
        <v>30</v>
      </c>
      <c r="K129" s="43"/>
      <c r="L129" s="45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4"/>
      <c r="T129" s="48">
        <v>37</v>
      </c>
      <c r="U129" s="4">
        <v>48</v>
      </c>
      <c r="V129" s="4">
        <f>T129*S129</f>
        <v>0</v>
      </c>
      <c r="W129" s="4">
        <f>U129*S129</f>
        <v>0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43">
        <v>0.66666666666666663</v>
      </c>
      <c r="J130" s="4">
        <v>30</v>
      </c>
      <c r="K130" s="43"/>
      <c r="L130" s="43">
        <v>0.64583333333333337</v>
      </c>
      <c r="M130" s="43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4"/>
      <c r="T130" s="48">
        <v>37</v>
      </c>
      <c r="U130" s="4">
        <v>48</v>
      </c>
      <c r="V130" s="4">
        <f>T130*S130</f>
        <v>0</v>
      </c>
      <c r="W130" s="4">
        <f>U130*S130</f>
        <v>0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45">
        <v>0.54166666666666663</v>
      </c>
      <c r="I131" s="43">
        <v>0.5625</v>
      </c>
      <c r="J131" s="4">
        <v>30</v>
      </c>
      <c r="K131" s="43"/>
      <c r="L131" s="45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4"/>
      <c r="T131" s="48">
        <v>35</v>
      </c>
      <c r="U131" s="4">
        <v>48</v>
      </c>
      <c r="V131" s="4">
        <f>T131*S131</f>
        <v>0</v>
      </c>
      <c r="W131" s="4">
        <f>U131*S131</f>
        <v>0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8">
        <v>35</v>
      </c>
      <c r="U132" s="4">
        <v>48</v>
      </c>
      <c r="V132" s="4">
        <f>T132*S132</f>
        <v>0</v>
      </c>
      <c r="W132" s="4">
        <f>U132*S132</f>
        <v>0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4"/>
      <c r="R133" s="4"/>
      <c r="S133" s="4"/>
      <c r="T133" s="48">
        <v>35</v>
      </c>
      <c r="U133" s="4">
        <v>48</v>
      </c>
      <c r="V133" s="4">
        <f>T133*S133</f>
        <v>0</v>
      </c>
      <c r="W133" s="4">
        <f>U133*S133</f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4"/>
      <c r="T134" s="48">
        <v>35</v>
      </c>
      <c r="U134" s="4">
        <v>48</v>
      </c>
      <c r="V134" s="4">
        <f>T134*S134</f>
        <v>0</v>
      </c>
      <c r="W134" s="4">
        <f>U134*S134</f>
        <v>0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4"/>
      <c r="R135" s="4"/>
      <c r="S135" s="4"/>
      <c r="T135" s="48">
        <v>35</v>
      </c>
      <c r="U135" s="4">
        <v>48</v>
      </c>
      <c r="V135" s="4">
        <f>T135*S135</f>
        <v>0</v>
      </c>
      <c r="W135" s="4">
        <f>U135*S135</f>
        <v>0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4"/>
      <c r="R136" s="4"/>
      <c r="S136" s="4"/>
      <c r="T136" s="48">
        <v>35</v>
      </c>
      <c r="U136" s="4">
        <v>48</v>
      </c>
      <c r="V136" s="4">
        <f>T136*S136</f>
        <v>0</v>
      </c>
      <c r="W136" s="4">
        <f>U136*S136</f>
        <v>0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43">
        <v>0.83333333333333337</v>
      </c>
      <c r="J137" s="4">
        <v>120</v>
      </c>
      <c r="K137" s="43"/>
      <c r="L137" s="45">
        <v>0.75</v>
      </c>
      <c r="M137" s="43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8">
        <v>35</v>
      </c>
      <c r="U137" s="4">
        <v>48</v>
      </c>
      <c r="V137" s="4">
        <f>T137*S137</f>
        <v>0</v>
      </c>
      <c r="W137" s="4">
        <f>U137*S137</f>
        <v>0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45">
        <v>0.4236111111111111</v>
      </c>
      <c r="I138" s="43">
        <v>0.46527777777777779</v>
      </c>
      <c r="J138" s="4">
        <v>60</v>
      </c>
      <c r="K138" s="43"/>
      <c r="L138" s="45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8">
        <v>27</v>
      </c>
      <c r="U138" s="4">
        <v>48</v>
      </c>
      <c r="V138" s="4">
        <f>T138*S138</f>
        <v>0</v>
      </c>
      <c r="W138" s="4">
        <f>U138*S138</f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43">
        <v>0.54166666666666663</v>
      </c>
      <c r="J139" s="4">
        <v>60</v>
      </c>
      <c r="K139" s="43"/>
      <c r="L139" s="45">
        <v>0.5</v>
      </c>
      <c r="M139" s="43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8">
        <v>27</v>
      </c>
      <c r="U139" s="4">
        <v>48</v>
      </c>
      <c r="V139" s="4">
        <f>T139*S139</f>
        <v>0</v>
      </c>
      <c r="W139" s="4">
        <f>U139*S139</f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43">
        <v>0.42708333333333331</v>
      </c>
      <c r="I140" s="43">
        <v>0.4375</v>
      </c>
      <c r="J140" s="4">
        <v>15</v>
      </c>
      <c r="K140" s="43"/>
      <c r="L140" s="43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8">
        <v>27</v>
      </c>
      <c r="U140" s="4">
        <v>48</v>
      </c>
      <c r="V140" s="4">
        <f>T140*S140</f>
        <v>0</v>
      </c>
      <c r="W140" s="4">
        <f>U140*S140</f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8">
        <v>27</v>
      </c>
      <c r="U141" s="4">
        <v>48</v>
      </c>
      <c r="V141" s="4">
        <f>T141*S141</f>
        <v>0</v>
      </c>
      <c r="W141" s="4">
        <f>U141*S141</f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43">
        <v>0.5</v>
      </c>
      <c r="J142" s="4">
        <v>60</v>
      </c>
      <c r="K142" s="43"/>
      <c r="L142" s="43">
        <v>0.45833333333333331</v>
      </c>
      <c r="M142" s="43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8">
        <v>27</v>
      </c>
      <c r="U142" s="4">
        <v>48</v>
      </c>
      <c r="V142" s="4">
        <f>T142*S142</f>
        <v>0</v>
      </c>
      <c r="W142" s="4">
        <f>U142*S142</f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45">
        <v>0.47916666666666669</v>
      </c>
      <c r="I143" s="43">
        <v>0.5</v>
      </c>
      <c r="J143" s="4">
        <v>30</v>
      </c>
      <c r="K143" s="43"/>
      <c r="L143" s="45">
        <v>0.47916666666666669</v>
      </c>
      <c r="M143" s="43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8">
        <v>25</v>
      </c>
      <c r="U143" s="4">
        <v>48</v>
      </c>
      <c r="V143" s="4">
        <f>T143*S143</f>
        <v>0</v>
      </c>
      <c r="W143" s="4">
        <f>U143*S143</f>
        <v>0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45">
        <v>0.4201388888888889</v>
      </c>
      <c r="I144" s="43">
        <v>0.4375</v>
      </c>
      <c r="J144" s="4">
        <v>25</v>
      </c>
      <c r="K144" s="43"/>
      <c r="L144" s="45">
        <v>0.4201388888888889</v>
      </c>
      <c r="M144" s="43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"/>
      <c r="U144" s="4">
        <v>48</v>
      </c>
      <c r="V144" s="4">
        <f>T144*S144</f>
        <v>0</v>
      </c>
      <c r="W144" s="4">
        <f>U144*S144</f>
        <v>0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45">
        <v>0.39583333333333331</v>
      </c>
      <c r="I145" s="43">
        <v>0.41666666666666663</v>
      </c>
      <c r="J145" s="4">
        <v>30</v>
      </c>
      <c r="K145" s="43"/>
      <c r="L145" s="45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4"/>
      <c r="T145" s="48">
        <v>25</v>
      </c>
      <c r="U145" s="4">
        <v>48</v>
      </c>
      <c r="V145" s="4">
        <f>T145*S145</f>
        <v>0</v>
      </c>
      <c r="W145" s="4">
        <f>U145*S145</f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4"/>
      <c r="T146" s="48">
        <v>25</v>
      </c>
      <c r="U146" s="4">
        <v>48</v>
      </c>
      <c r="V146" s="4">
        <f>T146*S146</f>
        <v>0</v>
      </c>
      <c r="W146" s="4">
        <f>U146*S146</f>
        <v>0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43">
        <v>0.58333333333333337</v>
      </c>
      <c r="J147" s="4">
        <v>120</v>
      </c>
      <c r="K147" s="43"/>
      <c r="L147" s="45">
        <v>0.5</v>
      </c>
      <c r="M147" s="43">
        <v>0.58333333333333337</v>
      </c>
      <c r="N147" s="4">
        <v>120</v>
      </c>
      <c r="O147" s="6" t="s">
        <v>26</v>
      </c>
      <c r="P147" s="4" t="s">
        <v>175</v>
      </c>
      <c r="Q147" s="4"/>
      <c r="R147" s="4"/>
      <c r="S147" s="4"/>
      <c r="T147" s="48">
        <v>25</v>
      </c>
      <c r="U147" s="4">
        <v>48</v>
      </c>
      <c r="V147" s="4">
        <f>T147*S147</f>
        <v>0</v>
      </c>
      <c r="W147" s="4">
        <f>U147*S147</f>
        <v>0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45">
        <v>0.54166666666666663</v>
      </c>
      <c r="I148" s="44">
        <v>0.55208333333333337</v>
      </c>
      <c r="J148" s="9">
        <v>15</v>
      </c>
      <c r="K148" s="44"/>
      <c r="L148" s="45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9"/>
      <c r="T148" s="49">
        <v>27</v>
      </c>
      <c r="U148" s="9">
        <v>48</v>
      </c>
      <c r="V148" s="4">
        <f>T148*S148</f>
        <v>0</v>
      </c>
      <c r="W148" s="4">
        <f>U148*S148</f>
        <v>0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44">
        <v>0.60416666666666663</v>
      </c>
      <c r="J149" s="9">
        <v>60</v>
      </c>
      <c r="K149" s="44"/>
      <c r="L149" s="45">
        <v>0.5625</v>
      </c>
      <c r="M149" s="44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9"/>
      <c r="T149" s="49">
        <v>27</v>
      </c>
      <c r="U149" s="9">
        <v>48</v>
      </c>
      <c r="V149" s="4">
        <f>T149*S149</f>
        <v>0</v>
      </c>
      <c r="W149" s="4">
        <f>U149*S149</f>
        <v>0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45">
        <v>0.625</v>
      </c>
      <c r="I150" s="43">
        <v>0.66666666666666663</v>
      </c>
      <c r="J150" s="4">
        <v>60</v>
      </c>
      <c r="K150" s="43"/>
      <c r="L150" s="45">
        <v>0.625</v>
      </c>
      <c r="M150" s="43">
        <v>0.66666666666666663</v>
      </c>
      <c r="N150" s="4">
        <v>60</v>
      </c>
      <c r="O150" s="6" t="s">
        <v>693</v>
      </c>
      <c r="P150" s="4"/>
      <c r="Q150" s="4"/>
      <c r="R150" s="4"/>
      <c r="S150" s="4"/>
      <c r="T150" s="48">
        <v>27</v>
      </c>
      <c r="U150" s="4">
        <v>48</v>
      </c>
      <c r="V150" s="4">
        <f>T150*S150</f>
        <v>0</v>
      </c>
      <c r="W150" s="4">
        <f>U150*S150</f>
        <v>0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43">
        <v>0.58333333333333337</v>
      </c>
      <c r="I151" s="43">
        <v>0.60416666666666674</v>
      </c>
      <c r="J151" s="4">
        <v>30</v>
      </c>
      <c r="K151" s="43"/>
      <c r="L151" s="43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8">
        <v>35</v>
      </c>
      <c r="U151" s="4">
        <v>48</v>
      </c>
      <c r="V151" s="4">
        <f>T151*S151</f>
        <v>0</v>
      </c>
      <c r="W151" s="4">
        <f>U151*S151</f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8">
        <v>35</v>
      </c>
      <c r="U152" s="4">
        <v>48</v>
      </c>
      <c r="V152" s="4">
        <f>T152*S152</f>
        <v>0</v>
      </c>
      <c r="W152" s="4">
        <f>U152*S152</f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43">
        <v>0.64583333333333337</v>
      </c>
      <c r="J153" s="4">
        <v>30</v>
      </c>
      <c r="K153" s="43"/>
      <c r="L153" s="43">
        <v>0.625</v>
      </c>
      <c r="M153" s="43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8">
        <v>35</v>
      </c>
      <c r="U153" s="4">
        <v>48</v>
      </c>
      <c r="V153" s="4">
        <f>T153*S153</f>
        <v>0</v>
      </c>
      <c r="W153" s="4">
        <f>U153*S153</f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45">
        <v>0.45833333333333331</v>
      </c>
      <c r="I154" s="43">
        <v>0.47916666666666663</v>
      </c>
      <c r="J154" s="4">
        <v>30</v>
      </c>
      <c r="K154" s="43"/>
      <c r="L154" s="45">
        <v>0.45833333333333331</v>
      </c>
      <c r="M154" s="43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4"/>
      <c r="T154" s="4"/>
      <c r="U154" s="4">
        <v>48</v>
      </c>
      <c r="V154" s="4">
        <f>T154*S154</f>
        <v>0</v>
      </c>
      <c r="W154" s="4">
        <f>U154*S154</f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45">
        <v>0.375</v>
      </c>
      <c r="I155" s="43">
        <v>0.38541666666666669</v>
      </c>
      <c r="J155" s="4">
        <v>15</v>
      </c>
      <c r="K155" s="43"/>
      <c r="L155" s="45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4"/>
      <c r="T155" s="4"/>
      <c r="U155" s="4">
        <v>48</v>
      </c>
      <c r="V155" s="4">
        <f>T155*S155</f>
        <v>0</v>
      </c>
      <c r="W155" s="4">
        <f>U155*S155</f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4"/>
      <c r="T156" s="4"/>
      <c r="U156" s="4">
        <v>48</v>
      </c>
      <c r="V156" s="4">
        <f>T156*S156</f>
        <v>0</v>
      </c>
      <c r="W156" s="4">
        <f>U156*S156</f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43">
        <v>0.45833333333333331</v>
      </c>
      <c r="J157" s="4">
        <v>90</v>
      </c>
      <c r="K157" s="43"/>
      <c r="L157" s="45">
        <v>0.39583333333333331</v>
      </c>
      <c r="M157" s="43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4"/>
      <c r="T157" s="4"/>
      <c r="U157" s="4">
        <v>48</v>
      </c>
      <c r="V157" s="4">
        <f>T157*S157</f>
        <v>0</v>
      </c>
      <c r="W157" s="4">
        <f>U157*S157</f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46">
        <v>0.45833333333333331</v>
      </c>
      <c r="I158" s="46">
        <v>0.6875</v>
      </c>
      <c r="J158" s="21">
        <v>330</v>
      </c>
      <c r="K158" s="46"/>
      <c r="L158" s="46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51">
        <v>30</v>
      </c>
      <c r="U158" s="21">
        <v>48</v>
      </c>
      <c r="V158" s="4">
        <f>T158*S158</f>
        <v>0</v>
      </c>
      <c r="W158" s="4">
        <f>U158*S158</f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43">
        <v>0.69791666666666663</v>
      </c>
      <c r="J159" s="4">
        <v>15</v>
      </c>
      <c r="K159" s="43"/>
      <c r="L159" s="45">
        <v>0.6875</v>
      </c>
      <c r="M159" s="43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8">
        <v>30</v>
      </c>
      <c r="U159" s="4">
        <v>48</v>
      </c>
      <c r="V159" s="4">
        <f>T159*S159</f>
        <v>0</v>
      </c>
      <c r="W159" s="4">
        <f>U159*S159</f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43">
        <v>0.39583333333333331</v>
      </c>
      <c r="I160" s="43">
        <v>0.40625</v>
      </c>
      <c r="J160" s="4">
        <v>15</v>
      </c>
      <c r="K160" s="43"/>
      <c r="L160" s="43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4"/>
      <c r="T160" s="48">
        <v>25</v>
      </c>
      <c r="U160" s="4">
        <v>48</v>
      </c>
      <c r="V160" s="4">
        <f>T160*S160</f>
        <v>0</v>
      </c>
      <c r="W160" s="4">
        <f>U160*S160</f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4"/>
      <c r="R161" s="4"/>
      <c r="S161" s="4"/>
      <c r="T161" s="48">
        <v>25</v>
      </c>
      <c r="U161" s="4">
        <v>48</v>
      </c>
      <c r="V161" s="4">
        <f>T161*S161</f>
        <v>0</v>
      </c>
      <c r="W161" s="4">
        <f>U161*S161</f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4"/>
      <c r="R162" s="4"/>
      <c r="S162" s="4"/>
      <c r="T162" s="48">
        <v>25</v>
      </c>
      <c r="U162" s="4">
        <v>48</v>
      </c>
      <c r="V162" s="4">
        <f>T162*S162</f>
        <v>0</v>
      </c>
      <c r="W162" s="4">
        <f>U162*S162</f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8">
        <v>25</v>
      </c>
      <c r="U163" s="4">
        <v>48</v>
      </c>
      <c r="V163" s="4">
        <f>T163*S163</f>
        <v>0</v>
      </c>
      <c r="W163" s="4">
        <f>U163*S163</f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43">
        <v>0.60416666666666674</v>
      </c>
      <c r="J164" s="4">
        <v>30</v>
      </c>
      <c r="K164" s="43"/>
      <c r="L164" s="43">
        <v>0.58333333333333337</v>
      </c>
      <c r="M164" s="43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8">
        <v>25</v>
      </c>
      <c r="U164" s="4">
        <v>48</v>
      </c>
      <c r="V164" s="4">
        <f>T164*S164</f>
        <v>0</v>
      </c>
      <c r="W164" s="4">
        <f>U164*S164</f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43">
        <v>0.35416666666666669</v>
      </c>
      <c r="I165" s="43">
        <v>0.45833333333333331</v>
      </c>
      <c r="J165" s="4">
        <v>150</v>
      </c>
      <c r="K165" s="43"/>
      <c r="L165" s="43">
        <v>0.35416666666666669</v>
      </c>
      <c r="M165" s="43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8">
        <v>25</v>
      </c>
      <c r="U165" s="4">
        <v>48</v>
      </c>
      <c r="V165" s="4">
        <f>T165*S165</f>
        <v>0</v>
      </c>
      <c r="W165" s="4">
        <f>U165*S165</f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45">
        <v>0.52777777777777779</v>
      </c>
      <c r="I166" s="43">
        <v>0.63194444444444442</v>
      </c>
      <c r="J166" s="4">
        <v>150</v>
      </c>
      <c r="K166" s="43"/>
      <c r="L166" s="45">
        <v>0.52777777777777779</v>
      </c>
      <c r="M166" s="43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8">
        <v>25</v>
      </c>
      <c r="U166" s="4">
        <v>48</v>
      </c>
      <c r="V166" s="4">
        <f>T166*S166</f>
        <v>0</v>
      </c>
      <c r="W166" s="4">
        <f>U166*S166</f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43">
        <v>0.625</v>
      </c>
      <c r="I167" s="43">
        <v>0.63541666666666663</v>
      </c>
      <c r="J167" s="4">
        <v>15</v>
      </c>
      <c r="K167" s="43"/>
      <c r="L167" s="43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8">
        <v>27</v>
      </c>
      <c r="U167" s="4">
        <v>48</v>
      </c>
      <c r="V167" s="4">
        <f>T167*S167</f>
        <v>0</v>
      </c>
      <c r="W167" s="4">
        <f>U167*S167</f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43">
        <v>0.77083333333333326</v>
      </c>
      <c r="J168" s="4">
        <v>150</v>
      </c>
      <c r="K168" s="43"/>
      <c r="L168" s="43">
        <v>0.66666666666666663</v>
      </c>
      <c r="M168" s="43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8">
        <v>27</v>
      </c>
      <c r="U168" s="4">
        <v>48</v>
      </c>
      <c r="V168" s="4">
        <f>T168*S168</f>
        <v>0</v>
      </c>
      <c r="W168" s="4">
        <f>U168*S168</f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45">
        <v>0.41666666666666669</v>
      </c>
      <c r="I169" s="43">
        <v>0.45833333333333337</v>
      </c>
      <c r="J169" s="4">
        <v>60</v>
      </c>
      <c r="K169" s="43"/>
      <c r="L169" s="45">
        <v>0.41666666666666669</v>
      </c>
      <c r="M169" s="43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8">
        <v>27</v>
      </c>
      <c r="U169" s="4">
        <v>48</v>
      </c>
      <c r="V169" s="4">
        <f>T169*S169</f>
        <v>0</v>
      </c>
      <c r="W169" s="4">
        <f>U169*S169</f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43">
        <v>0.64583333333333337</v>
      </c>
      <c r="I170" s="43">
        <v>0.66666666666666674</v>
      </c>
      <c r="J170" s="4">
        <v>30</v>
      </c>
      <c r="K170" s="43"/>
      <c r="L170" s="43">
        <v>0.64583333333333337</v>
      </c>
      <c r="M170" s="43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8">
        <v>27</v>
      </c>
      <c r="U170" s="4">
        <v>48</v>
      </c>
      <c r="V170" s="4">
        <f>T170*S170</f>
        <v>0</v>
      </c>
      <c r="W170" s="4">
        <f>U170*S170</f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43">
        <v>0.5</v>
      </c>
      <c r="I171" s="43">
        <v>0.6875</v>
      </c>
      <c r="J171" s="4">
        <v>270</v>
      </c>
      <c r="K171" s="43"/>
      <c r="L171" s="43">
        <v>0.5</v>
      </c>
      <c r="M171" s="43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8">
        <v>27</v>
      </c>
      <c r="U171" s="4">
        <v>48</v>
      </c>
      <c r="V171" s="4">
        <f>T171*S171</f>
        <v>0</v>
      </c>
      <c r="W171" s="4">
        <f>U171*S171</f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43">
        <v>0.375</v>
      </c>
      <c r="I172" s="43">
        <v>0.39583333333333331</v>
      </c>
      <c r="J172" s="4">
        <v>30</v>
      </c>
      <c r="K172" s="43"/>
      <c r="L172" s="43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8">
        <v>27</v>
      </c>
      <c r="U172" s="4">
        <v>48</v>
      </c>
      <c r="V172" s="4">
        <f>T172*S172</f>
        <v>0</v>
      </c>
      <c r="W172" s="4">
        <f>U172*S172</f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8">
        <v>27</v>
      </c>
      <c r="U173" s="4">
        <v>48</v>
      </c>
      <c r="V173" s="4">
        <f>T173*S173</f>
        <v>0</v>
      </c>
      <c r="W173" s="4">
        <f>U173*S173</f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43">
        <v>0.5</v>
      </c>
      <c r="J174" s="4">
        <v>90</v>
      </c>
      <c r="K174" s="43"/>
      <c r="L174" s="43">
        <v>0.4375</v>
      </c>
      <c r="M174" s="43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8">
        <v>27</v>
      </c>
      <c r="U174" s="4">
        <v>48</v>
      </c>
      <c r="V174" s="4">
        <f>T174*S174</f>
        <v>0</v>
      </c>
      <c r="W174" s="4">
        <f>U174*S174</f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45">
        <v>0.55208333333333337</v>
      </c>
      <c r="I175" s="43">
        <v>0.5625</v>
      </c>
      <c r="J175" s="4">
        <v>15</v>
      </c>
      <c r="K175" s="43"/>
      <c r="L175" s="45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8">
        <v>27</v>
      </c>
      <c r="U175" s="4">
        <v>48</v>
      </c>
      <c r="V175" s="4">
        <f>T175*S175</f>
        <v>0</v>
      </c>
      <c r="W175" s="4">
        <f>U175*S175</f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43">
        <v>0.61111111111111105</v>
      </c>
      <c r="J176" s="4">
        <v>60</v>
      </c>
      <c r="K176" s="43"/>
      <c r="L176" s="45">
        <v>0.56944444444444442</v>
      </c>
      <c r="M176" s="43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8">
        <v>27</v>
      </c>
      <c r="U176" s="4">
        <v>48</v>
      </c>
      <c r="V176" s="4">
        <f>T176*S176</f>
        <v>0</v>
      </c>
      <c r="W176" s="4">
        <f>U176*S176</f>
        <v>0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45">
        <v>0.6875</v>
      </c>
      <c r="I177" s="43">
        <v>0.70833333333333337</v>
      </c>
      <c r="J177" s="4">
        <v>30</v>
      </c>
      <c r="K177" s="43"/>
      <c r="L177" s="45">
        <v>0.6875</v>
      </c>
      <c r="M177" s="43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4"/>
      <c r="T177" s="48">
        <v>35</v>
      </c>
      <c r="U177" s="4">
        <v>48</v>
      </c>
      <c r="V177" s="4">
        <f>T177*S177</f>
        <v>0</v>
      </c>
      <c r="W177" s="4">
        <f>U177*S177</f>
        <v>0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45">
        <v>0.29166666666666669</v>
      </c>
      <c r="I178" s="43">
        <v>0.30208333333333331</v>
      </c>
      <c r="J178" s="4">
        <v>15</v>
      </c>
      <c r="K178" s="43"/>
      <c r="L178" s="45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4"/>
      <c r="T178" s="48">
        <v>35</v>
      </c>
      <c r="U178" s="4">
        <v>48</v>
      </c>
      <c r="V178" s="4">
        <f>T178*S178</f>
        <v>0</v>
      </c>
      <c r="W178" s="4">
        <f>U178*S178</f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4"/>
      <c r="T179" s="48">
        <v>35</v>
      </c>
      <c r="U179" s="4">
        <v>48</v>
      </c>
      <c r="V179" s="4">
        <f>T179*S179</f>
        <v>0</v>
      </c>
      <c r="W179" s="4">
        <f>U179*S179</f>
        <v>0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43">
        <v>0.45833333333333331</v>
      </c>
      <c r="J180" s="4">
        <v>120</v>
      </c>
      <c r="K180" s="43"/>
      <c r="L180" s="45">
        <v>0.39583333333333331</v>
      </c>
      <c r="M180" s="43">
        <v>0.45833333333333331</v>
      </c>
      <c r="N180" s="4">
        <v>120</v>
      </c>
      <c r="O180" s="6" t="s">
        <v>115</v>
      </c>
      <c r="P180" s="4"/>
      <c r="Q180" s="4"/>
      <c r="R180" s="4"/>
      <c r="S180" s="4"/>
      <c r="T180" s="48">
        <v>35</v>
      </c>
      <c r="U180" s="4">
        <v>48</v>
      </c>
      <c r="V180" s="4">
        <f>T180*S180</f>
        <v>0</v>
      </c>
      <c r="W180" s="4">
        <f>U180*S180</f>
        <v>0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43">
        <v>0.54166666666666663</v>
      </c>
      <c r="I181" s="43">
        <v>0.5625</v>
      </c>
      <c r="J181" s="4">
        <v>30</v>
      </c>
      <c r="K181" s="43"/>
      <c r="L181" s="43">
        <v>0.54166666666666663</v>
      </c>
      <c r="M181" s="43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4"/>
      <c r="T181" s="48">
        <v>30</v>
      </c>
      <c r="U181" s="4">
        <v>48</v>
      </c>
      <c r="V181" s="4">
        <f>T181*S181</f>
        <v>0</v>
      </c>
      <c r="W181" s="4">
        <f>U181*S181</f>
        <v>0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43">
        <v>0.5</v>
      </c>
      <c r="I182" s="43">
        <v>0.6875</v>
      </c>
      <c r="J182" s="4">
        <v>270</v>
      </c>
      <c r="K182" s="43"/>
      <c r="L182" s="43">
        <v>0.5</v>
      </c>
      <c r="M182" s="43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4"/>
      <c r="T182" s="48">
        <v>30</v>
      </c>
      <c r="U182" s="4">
        <v>48</v>
      </c>
      <c r="V182" s="4">
        <f>T182*S182</f>
        <v>0</v>
      </c>
      <c r="W182" s="4">
        <f>U182*S182</f>
        <v>0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43">
        <v>0.46875</v>
      </c>
      <c r="I183" s="43">
        <v>0.5</v>
      </c>
      <c r="J183" s="4">
        <v>45</v>
      </c>
      <c r="K183" s="43"/>
      <c r="L183" s="43">
        <v>0.46875</v>
      </c>
      <c r="M183" s="43">
        <v>0.5</v>
      </c>
      <c r="N183" s="4">
        <v>45</v>
      </c>
      <c r="O183" s="6" t="s">
        <v>290</v>
      </c>
      <c r="P183" s="4"/>
      <c r="Q183" s="4"/>
      <c r="R183" s="4"/>
      <c r="S183" s="4"/>
      <c r="T183" s="48">
        <v>30</v>
      </c>
      <c r="U183" s="4">
        <v>48</v>
      </c>
      <c r="V183" s="4">
        <f>T183*S183</f>
        <v>0</v>
      </c>
      <c r="W183" s="4">
        <f>U183*S183</f>
        <v>0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45">
        <v>0.3125</v>
      </c>
      <c r="I184" s="43">
        <v>0.41666666666666669</v>
      </c>
      <c r="J184" s="4">
        <v>150</v>
      </c>
      <c r="K184" s="43"/>
      <c r="L184" s="45">
        <v>0.3125</v>
      </c>
      <c r="M184" s="43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4"/>
      <c r="T184" s="48">
        <v>30</v>
      </c>
      <c r="U184" s="4">
        <v>48</v>
      </c>
      <c r="V184" s="4">
        <f>T184*S184</f>
        <v>0</v>
      </c>
      <c r="W184" s="4">
        <f>U184*S184</f>
        <v>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43">
        <v>0.45833333333333331</v>
      </c>
      <c r="I185" s="43">
        <v>0.48958333333333331</v>
      </c>
      <c r="J185" s="4">
        <v>45</v>
      </c>
      <c r="K185" s="43"/>
      <c r="L185" s="43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4"/>
      <c r="T185" s="48">
        <v>30</v>
      </c>
      <c r="U185" s="4">
        <v>48</v>
      </c>
      <c r="V185" s="4">
        <f>T185*S185</f>
        <v>0</v>
      </c>
      <c r="W185" s="4">
        <f>U185*S185</f>
        <v>0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43">
        <v>0.58333333333333326</v>
      </c>
      <c r="J186" s="4">
        <v>60</v>
      </c>
      <c r="K186" s="43"/>
      <c r="L186" s="43">
        <v>0.54166666666666663</v>
      </c>
      <c r="M186" s="43">
        <v>0.58333333333333326</v>
      </c>
      <c r="N186" s="4">
        <v>60</v>
      </c>
      <c r="O186" s="4" t="s">
        <v>110</v>
      </c>
      <c r="P186" s="4" t="s">
        <v>221</v>
      </c>
      <c r="Q186" s="4"/>
      <c r="R186" s="4"/>
      <c r="S186" s="4"/>
      <c r="T186" s="48">
        <v>30</v>
      </c>
      <c r="U186" s="4">
        <v>48</v>
      </c>
      <c r="V186" s="4">
        <f>T186*S186</f>
        <v>0</v>
      </c>
      <c r="W186" s="4">
        <f>U186*S186</f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45">
        <v>0.70833333333333337</v>
      </c>
      <c r="I187" s="43">
        <v>0.75</v>
      </c>
      <c r="J187" s="4">
        <v>60</v>
      </c>
      <c r="K187" s="43"/>
      <c r="L187" s="45">
        <v>0.70833333333333337</v>
      </c>
      <c r="M187" s="43">
        <v>0.75</v>
      </c>
      <c r="N187" s="4">
        <v>60</v>
      </c>
      <c r="O187" s="6" t="s">
        <v>26</v>
      </c>
      <c r="P187" s="4"/>
      <c r="Q187" s="4"/>
      <c r="R187" s="4"/>
      <c r="S187" s="4"/>
      <c r="T187" s="48">
        <v>30</v>
      </c>
      <c r="U187" s="4">
        <v>48</v>
      </c>
      <c r="V187" s="4">
        <f>T187*S187</f>
        <v>0</v>
      </c>
      <c r="W187" s="4">
        <f>U187*S187</f>
        <v>0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45">
        <v>0.6875</v>
      </c>
      <c r="I188" s="43">
        <v>0.70833333333333337</v>
      </c>
      <c r="J188" s="4">
        <v>60</v>
      </c>
      <c r="K188" s="43"/>
      <c r="L188" s="45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4"/>
      <c r="T188" s="48">
        <v>30</v>
      </c>
      <c r="U188" s="4">
        <v>48</v>
      </c>
      <c r="V188" s="4">
        <f>T188*S188</f>
        <v>0</v>
      </c>
      <c r="W188" s="4">
        <f>U188*S188</f>
        <v>0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43">
        <v>0.83333333333333337</v>
      </c>
      <c r="J189" s="4">
        <v>90</v>
      </c>
      <c r="K189" s="43"/>
      <c r="L189" s="45">
        <v>0.77083333333333337</v>
      </c>
      <c r="M189" s="43">
        <v>0.83333333333333337</v>
      </c>
      <c r="N189" s="4">
        <v>90</v>
      </c>
      <c r="O189" s="6" t="s">
        <v>26</v>
      </c>
      <c r="P189" s="4" t="s">
        <v>711</v>
      </c>
      <c r="Q189" s="4"/>
      <c r="R189" s="4"/>
      <c r="S189" s="4"/>
      <c r="T189" s="48">
        <v>30</v>
      </c>
      <c r="U189" s="4">
        <v>48</v>
      </c>
      <c r="V189" s="4">
        <f>T189*S189</f>
        <v>0</v>
      </c>
      <c r="W189" s="4">
        <f>U189*S189</f>
        <v>0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45">
        <v>0.35416666666666669</v>
      </c>
      <c r="I190" s="43">
        <v>0.375</v>
      </c>
      <c r="J190" s="4">
        <v>30</v>
      </c>
      <c r="K190" s="43"/>
      <c r="L190" s="45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4"/>
      <c r="T190" s="48">
        <v>30</v>
      </c>
      <c r="U190" s="4">
        <v>48</v>
      </c>
      <c r="V190" s="4">
        <f>T190*S190</f>
        <v>0</v>
      </c>
      <c r="W190" s="4">
        <f>U190*S190</f>
        <v>0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43">
        <v>0.4375</v>
      </c>
      <c r="J191" s="4">
        <v>60</v>
      </c>
      <c r="K191" s="43"/>
      <c r="L191" s="45">
        <v>0.39583333333333331</v>
      </c>
      <c r="M191" s="43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4"/>
      <c r="T191" s="48">
        <v>30</v>
      </c>
      <c r="U191" s="4">
        <v>48</v>
      </c>
      <c r="V191" s="4">
        <f>T191*S191</f>
        <v>0</v>
      </c>
      <c r="W191" s="4">
        <f>U191*S191</f>
        <v>0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43">
        <v>0.39583333333333331</v>
      </c>
      <c r="I192" s="43">
        <v>0.40625</v>
      </c>
      <c r="J192" s="4">
        <v>15</v>
      </c>
      <c r="K192" s="43"/>
      <c r="L192" s="43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4"/>
      <c r="T192" s="48">
        <v>30</v>
      </c>
      <c r="U192" s="4">
        <v>48</v>
      </c>
      <c r="V192" s="4">
        <f>T192*S192</f>
        <v>0</v>
      </c>
      <c r="W192" s="4">
        <f>U192*S192</f>
        <v>0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4"/>
      <c r="T193" s="48">
        <v>30</v>
      </c>
      <c r="U193" s="4">
        <v>48</v>
      </c>
      <c r="V193" s="4">
        <f>T193*S193</f>
        <v>0</v>
      </c>
      <c r="W193" s="4">
        <f>U193*S193</f>
        <v>0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43">
        <v>0.4375</v>
      </c>
      <c r="J194" s="4">
        <v>15</v>
      </c>
      <c r="K194" s="43"/>
      <c r="L194" s="45">
        <v>0.42708333333333331</v>
      </c>
      <c r="M194" s="43">
        <v>0.4375</v>
      </c>
      <c r="N194" s="4">
        <v>15</v>
      </c>
      <c r="O194" s="6" t="s">
        <v>46</v>
      </c>
      <c r="P194" s="4" t="s">
        <v>47</v>
      </c>
      <c r="Q194" s="4"/>
      <c r="R194" s="4"/>
      <c r="S194" s="4"/>
      <c r="T194" s="48">
        <v>30</v>
      </c>
      <c r="U194" s="4">
        <v>48</v>
      </c>
      <c r="V194" s="4">
        <f>T194*S194</f>
        <v>0</v>
      </c>
      <c r="W194" s="4">
        <f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43">
        <v>0.5</v>
      </c>
      <c r="I195" s="43">
        <v>0.6875</v>
      </c>
      <c r="J195" s="4">
        <v>270</v>
      </c>
      <c r="K195" s="43"/>
      <c r="L195" s="43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4"/>
      <c r="T195" s="48">
        <v>30</v>
      </c>
      <c r="U195" s="4">
        <v>48</v>
      </c>
      <c r="V195" s="4">
        <f>T195*S195</f>
        <v>0</v>
      </c>
      <c r="W195" s="4">
        <f>U195*S195</f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43">
        <v>0.58333333333333337</v>
      </c>
      <c r="J196" s="4">
        <v>30</v>
      </c>
      <c r="K196" s="43"/>
      <c r="L196" s="43">
        <v>0.5625</v>
      </c>
      <c r="M196" s="43">
        <v>0.58333333333333337</v>
      </c>
      <c r="N196" s="4">
        <v>30</v>
      </c>
      <c r="O196" s="4" t="s">
        <v>110</v>
      </c>
      <c r="P196" s="4" t="s">
        <v>160</v>
      </c>
      <c r="Q196" s="4"/>
      <c r="R196" s="4"/>
      <c r="S196" s="4"/>
      <c r="T196" s="48">
        <v>30</v>
      </c>
      <c r="U196" s="4">
        <v>48</v>
      </c>
      <c r="V196" s="4">
        <f>T196*S196</f>
        <v>0</v>
      </c>
      <c r="W196" s="4">
        <f>U196*S196</f>
        <v>0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43">
        <v>0.4375</v>
      </c>
      <c r="I197" s="43">
        <v>0.45833333333333331</v>
      </c>
      <c r="J197" s="4">
        <v>30</v>
      </c>
      <c r="K197" s="43"/>
      <c r="L197" s="43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4"/>
      <c r="T197" s="48">
        <v>30</v>
      </c>
      <c r="U197" s="4">
        <v>48</v>
      </c>
      <c r="V197" s="4">
        <f>T197*S197</f>
        <v>0</v>
      </c>
      <c r="W197" s="4">
        <f>U197*S197</f>
        <v>0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4"/>
      <c r="T198" s="48">
        <v>30</v>
      </c>
      <c r="U198" s="4">
        <v>48</v>
      </c>
      <c r="V198" s="4">
        <f>T198*S198</f>
        <v>0</v>
      </c>
      <c r="W198" s="4">
        <f>U198*S198</f>
        <v>0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43">
        <v>0.73958333333333337</v>
      </c>
      <c r="J199" s="4">
        <v>15</v>
      </c>
      <c r="K199" s="43"/>
      <c r="L199" s="43">
        <v>0.72916666666666663</v>
      </c>
      <c r="M199" s="43">
        <v>0.73958333333333337</v>
      </c>
      <c r="N199" s="4">
        <v>15</v>
      </c>
      <c r="O199" s="4" t="s">
        <v>26</v>
      </c>
      <c r="P199" s="4"/>
      <c r="Q199" s="4"/>
      <c r="R199" s="4"/>
      <c r="S199" s="4"/>
      <c r="T199" s="48">
        <v>30</v>
      </c>
      <c r="U199" s="4">
        <v>48</v>
      </c>
      <c r="V199" s="4">
        <f>T199*S199</f>
        <v>0</v>
      </c>
      <c r="W199" s="4">
        <f>U199*S199</f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43">
        <v>0.35416666666666669</v>
      </c>
      <c r="I200" s="43">
        <v>0.45833333333333331</v>
      </c>
      <c r="J200" s="4">
        <v>150</v>
      </c>
      <c r="K200" s="43"/>
      <c r="L200" s="43">
        <v>0.35416666666666669</v>
      </c>
      <c r="M200" s="43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"/>
      <c r="U200" s="4">
        <v>48</v>
      </c>
      <c r="V200" s="4">
        <f>T200*S200</f>
        <v>0</v>
      </c>
      <c r="W200" s="4">
        <f>U200*S200</f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45">
        <v>0.5625</v>
      </c>
      <c r="I201" s="43">
        <v>0.58333333333333337</v>
      </c>
      <c r="J201" s="4">
        <v>30</v>
      </c>
      <c r="K201" s="43"/>
      <c r="L201" s="45">
        <v>0.5625</v>
      </c>
      <c r="M201" s="43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8">
        <v>40</v>
      </c>
      <c r="U201" s="4">
        <v>48</v>
      </c>
      <c r="V201" s="4">
        <f>T201*S201</f>
        <v>0</v>
      </c>
      <c r="W201" s="4">
        <f>U201*S201</f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45">
        <v>0.375</v>
      </c>
      <c r="I202" s="43">
        <v>0.41666666666666669</v>
      </c>
      <c r="J202" s="4">
        <v>60</v>
      </c>
      <c r="K202" s="43"/>
      <c r="L202" s="45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8">
        <v>30</v>
      </c>
      <c r="U202" s="4">
        <v>48</v>
      </c>
      <c r="V202" s="4">
        <f>T202*S202</f>
        <v>0</v>
      </c>
      <c r="W202" s="4">
        <f>U202*S202</f>
        <v>0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43">
        <v>0.52083333333333337</v>
      </c>
      <c r="J203" s="4">
        <v>150</v>
      </c>
      <c r="K203" s="43"/>
      <c r="L203" s="45">
        <v>0.41666666666666669</v>
      </c>
      <c r="M203" s="43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4"/>
      <c r="T203" s="48">
        <v>30</v>
      </c>
      <c r="U203" s="4">
        <v>48</v>
      </c>
      <c r="V203" s="4">
        <f>T203*S203</f>
        <v>0</v>
      </c>
      <c r="W203" s="4">
        <f>U203*S203</f>
        <v>0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45">
        <v>0.66666666666666663</v>
      </c>
      <c r="I204" s="43">
        <v>0.6875</v>
      </c>
      <c r="J204" s="4">
        <v>30</v>
      </c>
      <c r="K204" s="43"/>
      <c r="L204" s="45">
        <v>0.66666666666666663</v>
      </c>
      <c r="M204" s="43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4"/>
      <c r="T204" s="48">
        <v>30</v>
      </c>
      <c r="U204" s="4">
        <v>48</v>
      </c>
      <c r="V204" s="4">
        <f>T204*S204</f>
        <v>0</v>
      </c>
      <c r="W204" s="4">
        <f>U204*S204</f>
        <v>0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45">
        <v>0.41666666666666669</v>
      </c>
      <c r="I205" s="43">
        <v>0.42708333333333337</v>
      </c>
      <c r="J205" s="4">
        <v>15</v>
      </c>
      <c r="K205" s="43"/>
      <c r="L205" s="45">
        <v>0.41666666666666669</v>
      </c>
      <c r="M205" s="43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8">
        <v>30</v>
      </c>
      <c r="U205" s="4">
        <v>48</v>
      </c>
      <c r="V205" s="4">
        <f>T205*S205</f>
        <v>0</v>
      </c>
      <c r="W205" s="4">
        <f>U205*S205</f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45">
        <v>0.5625</v>
      </c>
      <c r="I206" s="43">
        <v>0.58333333333333337</v>
      </c>
      <c r="J206" s="4">
        <v>30</v>
      </c>
      <c r="K206" s="43"/>
      <c r="L206" s="45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8">
        <v>32</v>
      </c>
      <c r="U206" s="4">
        <v>48</v>
      </c>
      <c r="V206" s="4">
        <f>T206*S206</f>
        <v>0</v>
      </c>
      <c r="W206" s="4">
        <f>U206*S206</f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43">
        <v>0.8125</v>
      </c>
      <c r="J207" s="4">
        <v>300</v>
      </c>
      <c r="K207" s="43"/>
      <c r="L207" s="45">
        <v>0.60416666666666663</v>
      </c>
      <c r="M207" s="43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8">
        <v>32</v>
      </c>
      <c r="U207" s="4">
        <v>48</v>
      </c>
      <c r="V207" s="4">
        <f>T207*S207</f>
        <v>0</v>
      </c>
      <c r="W207" s="4">
        <f>U207*S207</f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43">
        <v>0.45833333333333331</v>
      </c>
      <c r="I208" s="43">
        <v>0.5</v>
      </c>
      <c r="J208" s="4">
        <v>60</v>
      </c>
      <c r="K208" s="43"/>
      <c r="L208" s="43">
        <v>0.45833333333333331</v>
      </c>
      <c r="M208" s="43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4"/>
      <c r="T208" s="48">
        <v>32</v>
      </c>
      <c r="U208" s="4">
        <v>48</v>
      </c>
      <c r="V208" s="4">
        <f>T208*S208</f>
        <v>0</v>
      </c>
      <c r="W208" s="4">
        <f>U208*S208</f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45">
        <v>0.41666666666666669</v>
      </c>
      <c r="I209" s="43">
        <v>0.45833333333333337</v>
      </c>
      <c r="J209" s="4">
        <v>60</v>
      </c>
      <c r="K209" s="43"/>
      <c r="L209" s="45">
        <v>0.41666666666666669</v>
      </c>
      <c r="M209" s="43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4"/>
      <c r="T209" s="48">
        <v>32</v>
      </c>
      <c r="U209" s="4">
        <v>48</v>
      </c>
      <c r="V209" s="4">
        <f>T209*S209</f>
        <v>0</v>
      </c>
      <c r="W209" s="4">
        <f>U209*S209</f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45">
        <v>0.41666666666666669</v>
      </c>
      <c r="I210" s="43">
        <v>0.4375</v>
      </c>
      <c r="J210" s="4">
        <v>30</v>
      </c>
      <c r="K210" s="43"/>
      <c r="L210" s="45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8">
        <v>38</v>
      </c>
      <c r="U210" s="4">
        <v>48</v>
      </c>
      <c r="V210" s="4">
        <f>T210*S210</f>
        <v>0</v>
      </c>
      <c r="W210" s="4">
        <f>U210*S210</f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43">
        <v>0.58333333333333337</v>
      </c>
      <c r="J211" s="4">
        <v>150</v>
      </c>
      <c r="K211" s="43"/>
      <c r="L211" s="45">
        <v>0.47916666666666669</v>
      </c>
      <c r="M211" s="43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8">
        <v>38</v>
      </c>
      <c r="U211" s="4">
        <v>48</v>
      </c>
      <c r="V211" s="4">
        <f>T211*S211</f>
        <v>0</v>
      </c>
      <c r="W211" s="4">
        <f>U211*S211</f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45">
        <v>0.625</v>
      </c>
      <c r="I212" s="43">
        <v>0.64583333333333337</v>
      </c>
      <c r="J212" s="4">
        <v>30</v>
      </c>
      <c r="K212" s="43"/>
      <c r="L212" s="45">
        <v>0.625</v>
      </c>
      <c r="M212" s="43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8">
        <v>38</v>
      </c>
      <c r="U212" s="4">
        <v>48</v>
      </c>
      <c r="V212" s="4">
        <f>T212*S212</f>
        <v>0</v>
      </c>
      <c r="W212" s="4">
        <f>U212*S212</f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45">
        <v>0.64583333333333337</v>
      </c>
      <c r="I213" s="43">
        <v>0.66666666666666674</v>
      </c>
      <c r="J213" s="4">
        <v>30</v>
      </c>
      <c r="K213" s="43"/>
      <c r="L213" s="45">
        <v>0.64583333333333337</v>
      </c>
      <c r="M213" s="43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8">
        <v>38</v>
      </c>
      <c r="U213" s="4">
        <v>48</v>
      </c>
      <c r="V213" s="4">
        <f>T213*S213</f>
        <v>0</v>
      </c>
      <c r="W213" s="4">
        <f>U213*S213</f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45">
        <v>0.39583333333333331</v>
      </c>
      <c r="I214" s="43">
        <v>0.41666666666666663</v>
      </c>
      <c r="J214" s="4">
        <v>30</v>
      </c>
      <c r="K214" s="43"/>
      <c r="L214" s="45">
        <v>0.39583333333333331</v>
      </c>
      <c r="M214" s="43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8">
        <v>25</v>
      </c>
      <c r="U214" s="4">
        <v>48</v>
      </c>
      <c r="V214" s="4">
        <f>T214*S214</f>
        <v>0</v>
      </c>
      <c r="W214" s="4">
        <f>U214*S214</f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45">
        <v>0.41666666666666669</v>
      </c>
      <c r="I215" s="43">
        <v>0.4375</v>
      </c>
      <c r="J215" s="4">
        <v>30</v>
      </c>
      <c r="K215" s="43"/>
      <c r="L215" s="45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8">
        <v>30</v>
      </c>
      <c r="U215" s="4">
        <v>48</v>
      </c>
      <c r="V215" s="4">
        <f>T215*S215</f>
        <v>0</v>
      </c>
      <c r="W215" s="4">
        <f>U215*S215</f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43">
        <v>0.54166666666666674</v>
      </c>
      <c r="J216" s="4">
        <v>90</v>
      </c>
      <c r="K216" s="43"/>
      <c r="L216" s="45">
        <v>0.47916666666666669</v>
      </c>
      <c r="M216" s="43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8">
        <v>30</v>
      </c>
      <c r="U216" s="4">
        <v>48</v>
      </c>
      <c r="V216" s="4">
        <f>T216*S216</f>
        <v>0</v>
      </c>
      <c r="W216" s="4">
        <f>U216*S216</f>
        <v>0</v>
      </c>
      <c r="X216" s="4"/>
      <c r="Y216" s="4"/>
    </row>
  </sheetData>
  <sortState ref="A2:Y216">
    <sortCondition ref="A1"/>
    <sortCondition ref="G1"/>
    <sortCondition ref="F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216"/>
  <sheetViews>
    <sheetView tabSelected="1" topLeftCell="F1"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52">
        <v>0.58333333333333337</v>
      </c>
      <c r="I2" s="56">
        <v>0.61458333333333337</v>
      </c>
      <c r="J2" s="4">
        <v>45</v>
      </c>
      <c r="K2" s="43"/>
      <c r="L2" s="52">
        <v>0.58333333333333337</v>
      </c>
      <c r="M2" s="56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50">
        <v>1</v>
      </c>
      <c r="T2" s="48">
        <v>30</v>
      </c>
      <c r="U2" s="4">
        <v>48</v>
      </c>
      <c r="V2" s="4">
        <f>T2*S2</f>
        <v>30</v>
      </c>
      <c r="W2" s="4">
        <f>U2*S2</f>
        <v>48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54">
        <v>0.5625</v>
      </c>
      <c r="I3" s="58">
        <v>0.57291666666666663</v>
      </c>
      <c r="J3" s="9">
        <v>15</v>
      </c>
      <c r="K3" s="44"/>
      <c r="L3" s="54">
        <v>0.5625</v>
      </c>
      <c r="M3" s="58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57">
        <v>1</v>
      </c>
      <c r="T3" s="49">
        <v>30</v>
      </c>
      <c r="U3" s="9">
        <v>48</v>
      </c>
      <c r="V3" s="4">
        <f>T3*S3</f>
        <v>30</v>
      </c>
      <c r="W3" s="4">
        <f>U3*S3</f>
        <v>48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52">
        <v>0.39583333333333331</v>
      </c>
      <c r="I4" s="56">
        <v>0.41666666666666663</v>
      </c>
      <c r="J4" s="4">
        <v>30</v>
      </c>
      <c r="K4" s="43"/>
      <c r="L4" s="52">
        <v>0.39583333333333331</v>
      </c>
      <c r="M4" s="56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50">
        <v>1</v>
      </c>
      <c r="T4" s="48">
        <v>30</v>
      </c>
      <c r="U4" s="4">
        <v>48</v>
      </c>
      <c r="V4" s="4">
        <f>T4*S4</f>
        <v>30</v>
      </c>
      <c r="W4" s="4">
        <f>U4*S4</f>
        <v>48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52">
        <v>0.5625</v>
      </c>
      <c r="I5" s="56">
        <v>0.72916666666666663</v>
      </c>
      <c r="J5" s="4">
        <v>240</v>
      </c>
      <c r="K5" s="43"/>
      <c r="L5" s="52">
        <v>0.5625</v>
      </c>
      <c r="M5" s="56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50">
        <v>4</v>
      </c>
      <c r="T5" s="48">
        <v>30</v>
      </c>
      <c r="U5" s="4">
        <v>48</v>
      </c>
      <c r="V5" s="4">
        <f>T5*S5</f>
        <v>120</v>
      </c>
      <c r="W5" s="4">
        <f>U5*S5</f>
        <v>192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52">
        <v>0.47916666666666669</v>
      </c>
      <c r="I6" s="43">
        <v>0.49305555555555558</v>
      </c>
      <c r="J6" s="4">
        <v>20</v>
      </c>
      <c r="K6" s="43"/>
      <c r="L6" s="52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53">
        <v>0.5</v>
      </c>
      <c r="T6" s="48">
        <v>30</v>
      </c>
      <c r="U6" s="4">
        <v>48</v>
      </c>
      <c r="V6" s="4">
        <f>T6*S6</f>
        <v>15</v>
      </c>
      <c r="W6" s="4">
        <f>U6*S6</f>
        <v>24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56">
        <v>0.51388888888888884</v>
      </c>
      <c r="J7" s="4">
        <v>20</v>
      </c>
      <c r="K7" s="43"/>
      <c r="L7" s="45">
        <v>0.5</v>
      </c>
      <c r="M7" s="56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50">
        <v>1</v>
      </c>
      <c r="T7" s="48">
        <v>30</v>
      </c>
      <c r="U7" s="4">
        <v>48</v>
      </c>
      <c r="V7" s="4">
        <f>T7*S7</f>
        <v>30</v>
      </c>
      <c r="W7" s="4">
        <f>U7*S7</f>
        <v>48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52">
        <v>0.45833333333333331</v>
      </c>
      <c r="I8" s="56">
        <v>0.47916666666666663</v>
      </c>
      <c r="J8" s="4">
        <v>30</v>
      </c>
      <c r="K8" s="43"/>
      <c r="L8" s="52">
        <v>0.45833333333333331</v>
      </c>
      <c r="M8" s="56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50">
        <v>1</v>
      </c>
      <c r="T8" s="48">
        <v>30</v>
      </c>
      <c r="U8" s="4">
        <v>48</v>
      </c>
      <c r="V8" s="4">
        <f>T8*S8</f>
        <v>30</v>
      </c>
      <c r="W8" s="4">
        <f>U8*S8</f>
        <v>48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52">
        <v>0.375</v>
      </c>
      <c r="I9" s="43">
        <v>0.41666666666666669</v>
      </c>
      <c r="J9" s="4">
        <v>60</v>
      </c>
      <c r="K9" s="43"/>
      <c r="L9" s="52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53">
        <v>1</v>
      </c>
      <c r="T9" s="48">
        <v>30</v>
      </c>
      <c r="U9" s="4">
        <v>48</v>
      </c>
      <c r="V9" s="4">
        <f>T9*S9</f>
        <v>30</v>
      </c>
      <c r="W9" s="4">
        <f>U9*S9</f>
        <v>48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56">
        <v>0.45833333333333337</v>
      </c>
      <c r="J10" s="4">
        <v>60</v>
      </c>
      <c r="K10" s="43"/>
      <c r="L10" s="43">
        <v>0.41666666666666669</v>
      </c>
      <c r="M10" s="56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50">
        <v>2</v>
      </c>
      <c r="T10" s="48">
        <v>30</v>
      </c>
      <c r="U10" s="4">
        <v>48</v>
      </c>
      <c r="V10" s="4">
        <f>T10*S10</f>
        <v>60</v>
      </c>
      <c r="W10" s="4">
        <f>U10*S10</f>
        <v>96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52">
        <v>0.53125</v>
      </c>
      <c r="I11" s="43">
        <v>0.58333333333333337</v>
      </c>
      <c r="J11" s="4">
        <v>75</v>
      </c>
      <c r="K11" s="43"/>
      <c r="L11" s="52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53">
        <v>1.25</v>
      </c>
      <c r="T11" s="48">
        <v>30</v>
      </c>
      <c r="U11" s="4">
        <v>48</v>
      </c>
      <c r="V11" s="4">
        <f>T11*S11</f>
        <v>37.5</v>
      </c>
      <c r="W11" s="4">
        <f>U11*S11</f>
        <v>60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56">
        <v>0.625</v>
      </c>
      <c r="J12" s="4">
        <v>60</v>
      </c>
      <c r="K12" s="43"/>
      <c r="L12" s="43">
        <v>0.58333333333333337</v>
      </c>
      <c r="M12" s="56">
        <v>0.625</v>
      </c>
      <c r="N12" s="4">
        <v>60</v>
      </c>
      <c r="O12" s="4" t="s">
        <v>167</v>
      </c>
      <c r="P12" s="4"/>
      <c r="Q12" s="4"/>
      <c r="R12" s="4"/>
      <c r="S12" s="50">
        <v>2.25</v>
      </c>
      <c r="T12" s="48">
        <v>30</v>
      </c>
      <c r="U12" s="4">
        <v>48</v>
      </c>
      <c r="V12" s="4">
        <f>T12*S12</f>
        <v>67.5</v>
      </c>
      <c r="W12" s="4">
        <f>U12*S12</f>
        <v>108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52">
        <v>0.40277777777777773</v>
      </c>
      <c r="I13" s="56">
        <v>0.42361111111111105</v>
      </c>
      <c r="J13" s="4">
        <v>30</v>
      </c>
      <c r="K13" s="43"/>
      <c r="L13" s="52">
        <v>0.40277777777777773</v>
      </c>
      <c r="M13" s="56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50">
        <v>1</v>
      </c>
      <c r="T13" s="48">
        <v>30</v>
      </c>
      <c r="U13" s="4">
        <v>48</v>
      </c>
      <c r="V13" s="4">
        <f>T13*S13</f>
        <v>30</v>
      </c>
      <c r="W13" s="4">
        <f>U13*S13</f>
        <v>48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52">
        <v>0.6875</v>
      </c>
      <c r="I14" s="56">
        <v>0.70833333333333337</v>
      </c>
      <c r="J14" s="4">
        <v>30</v>
      </c>
      <c r="K14" s="43"/>
      <c r="L14" s="52">
        <v>0.6875</v>
      </c>
      <c r="M14" s="56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50">
        <v>1</v>
      </c>
      <c r="T14" s="48">
        <v>32</v>
      </c>
      <c r="U14" s="4">
        <v>48</v>
      </c>
      <c r="V14" s="4">
        <f>T14*S14</f>
        <v>32</v>
      </c>
      <c r="W14" s="4">
        <f>U14*S14</f>
        <v>48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52">
        <v>0.63541666666666663</v>
      </c>
      <c r="I15" s="56">
        <v>0.65625</v>
      </c>
      <c r="J15" s="4">
        <v>45</v>
      </c>
      <c r="K15" s="43"/>
      <c r="L15" s="52">
        <v>0.63541666666666663</v>
      </c>
      <c r="M15" s="56">
        <v>0.65625</v>
      </c>
      <c r="N15" s="4">
        <v>45</v>
      </c>
      <c r="O15" s="6" t="s">
        <v>695</v>
      </c>
      <c r="P15" s="4"/>
      <c r="Q15" s="4"/>
      <c r="R15" s="4"/>
      <c r="S15" s="50">
        <v>1</v>
      </c>
      <c r="T15" s="48">
        <v>32</v>
      </c>
      <c r="U15" s="4">
        <v>48</v>
      </c>
      <c r="V15" s="4">
        <f>T15*S15</f>
        <v>32</v>
      </c>
      <c r="W15" s="4">
        <f>U15*S15</f>
        <v>48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52">
        <v>0.33333333333333331</v>
      </c>
      <c r="I16" s="56">
        <v>0.35416666666666663</v>
      </c>
      <c r="J16" s="4">
        <v>30</v>
      </c>
      <c r="K16" s="43"/>
      <c r="L16" s="52">
        <v>0.33333333333333331</v>
      </c>
      <c r="M16" s="56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50">
        <v>1</v>
      </c>
      <c r="T16" s="48">
        <v>32</v>
      </c>
      <c r="U16" s="4">
        <v>48</v>
      </c>
      <c r="V16" s="4">
        <f>T16*S16</f>
        <v>32</v>
      </c>
      <c r="W16" s="4">
        <f>U16*S16</f>
        <v>48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52">
        <v>0.36458333333333331</v>
      </c>
      <c r="I17" s="43">
        <v>0.375</v>
      </c>
      <c r="J17" s="4">
        <v>15</v>
      </c>
      <c r="K17" s="43"/>
      <c r="L17" s="52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53">
        <v>0.25</v>
      </c>
      <c r="T17" s="48">
        <v>32</v>
      </c>
      <c r="U17" s="4">
        <v>48</v>
      </c>
      <c r="V17" s="4">
        <f>T17*S17</f>
        <v>8</v>
      </c>
      <c r="W17" s="4">
        <f>U17*S17</f>
        <v>12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59" t="s">
        <v>813</v>
      </c>
      <c r="R18" s="4"/>
      <c r="S18" s="53">
        <v>0.5</v>
      </c>
      <c r="T18" s="48">
        <v>32</v>
      </c>
      <c r="U18" s="4">
        <v>48</v>
      </c>
      <c r="V18" s="4">
        <f>T18*S18</f>
        <v>16</v>
      </c>
      <c r="W18" s="4">
        <f>U18*S18</f>
        <v>24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56">
        <v>0.4236111111111111</v>
      </c>
      <c r="J19" s="4">
        <v>40</v>
      </c>
      <c r="K19" s="43"/>
      <c r="L19" s="45">
        <v>0.39583333333333331</v>
      </c>
      <c r="M19" s="56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50">
        <v>1.5</v>
      </c>
      <c r="T19" s="48">
        <v>32</v>
      </c>
      <c r="U19" s="4">
        <v>48</v>
      </c>
      <c r="V19" s="4">
        <f>T19*S19</f>
        <v>48</v>
      </c>
      <c r="W19" s="4">
        <f>U19*S19</f>
        <v>72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52">
        <v>0.5</v>
      </c>
      <c r="I20" s="43">
        <v>0.51041666666666663</v>
      </c>
      <c r="J20" s="4">
        <v>15</v>
      </c>
      <c r="K20" s="43"/>
      <c r="L20" s="52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53">
        <v>0.25</v>
      </c>
      <c r="T20" s="48">
        <v>32</v>
      </c>
      <c r="U20" s="4">
        <v>48</v>
      </c>
      <c r="V20" s="4">
        <f>T20*S20</f>
        <v>8</v>
      </c>
      <c r="W20" s="4">
        <f>U20*S20</f>
        <v>12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53">
        <v>0.25</v>
      </c>
      <c r="T21" s="48">
        <v>32</v>
      </c>
      <c r="U21" s="4">
        <v>48</v>
      </c>
      <c r="V21" s="4">
        <f>T21*S21</f>
        <v>8</v>
      </c>
      <c r="W21" s="4">
        <f>U21*S21</f>
        <v>12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56">
        <v>0.54861111111111116</v>
      </c>
      <c r="J22" s="4">
        <v>40</v>
      </c>
      <c r="K22" s="43"/>
      <c r="L22" s="43">
        <v>0.52777777777777779</v>
      </c>
      <c r="M22" s="56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50">
        <v>1.25</v>
      </c>
      <c r="T22" s="48">
        <v>32</v>
      </c>
      <c r="U22" s="4">
        <v>48</v>
      </c>
      <c r="V22" s="4">
        <f>T22*S22</f>
        <v>40</v>
      </c>
      <c r="W22" s="4">
        <f>U22*S22</f>
        <v>60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52">
        <v>0.55208333333333337</v>
      </c>
      <c r="I23" s="56">
        <v>0.5625</v>
      </c>
      <c r="J23" s="4">
        <v>15</v>
      </c>
      <c r="K23" s="43"/>
      <c r="L23" s="52">
        <v>0.55208333333333337</v>
      </c>
      <c r="M23" s="56">
        <v>0.5625</v>
      </c>
      <c r="N23" s="4">
        <v>15</v>
      </c>
      <c r="O23" s="4" t="s">
        <v>107</v>
      </c>
      <c r="P23" s="4" t="s">
        <v>523</v>
      </c>
      <c r="Q23" s="4"/>
      <c r="R23" s="4"/>
      <c r="S23" s="50">
        <v>1</v>
      </c>
      <c r="T23" s="48">
        <v>32</v>
      </c>
      <c r="U23" s="4">
        <v>48</v>
      </c>
      <c r="V23" s="4">
        <f>T23*S23</f>
        <v>32</v>
      </c>
      <c r="W23" s="4">
        <f>U23*S23</f>
        <v>48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52">
        <v>0.4375</v>
      </c>
      <c r="I24" s="43">
        <v>0.45833333333333331</v>
      </c>
      <c r="J24" s="4">
        <v>30</v>
      </c>
      <c r="K24" s="43"/>
      <c r="L24" s="52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53">
        <v>0.5</v>
      </c>
      <c r="T24" s="48">
        <v>32</v>
      </c>
      <c r="U24" s="4">
        <v>48</v>
      </c>
      <c r="V24" s="4">
        <f>T24*S24</f>
        <v>16</v>
      </c>
      <c r="W24" s="4">
        <f>U24*S24</f>
        <v>24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56">
        <v>0.5</v>
      </c>
      <c r="J25" s="4">
        <v>45</v>
      </c>
      <c r="K25" s="43"/>
      <c r="L25" s="43">
        <v>0.46875</v>
      </c>
      <c r="M25" s="56">
        <v>0.5</v>
      </c>
      <c r="N25" s="4">
        <v>45</v>
      </c>
      <c r="O25" s="4" t="s">
        <v>82</v>
      </c>
      <c r="P25" s="4" t="s">
        <v>83</v>
      </c>
      <c r="Q25" s="4"/>
      <c r="R25" s="4"/>
      <c r="S25" s="50">
        <v>1.5</v>
      </c>
      <c r="T25" s="48">
        <v>32</v>
      </c>
      <c r="U25" s="4">
        <v>48</v>
      </c>
      <c r="V25" s="4">
        <f>T25*S25</f>
        <v>48</v>
      </c>
      <c r="W25" s="4">
        <f>U25*S25</f>
        <v>72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52">
        <v>0.54166666666666663</v>
      </c>
      <c r="I26" s="56">
        <v>0.57638888888888895</v>
      </c>
      <c r="J26" s="4">
        <v>50</v>
      </c>
      <c r="K26" s="43"/>
      <c r="L26" s="52">
        <v>0.54166666666666663</v>
      </c>
      <c r="M26" s="56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50">
        <v>1</v>
      </c>
      <c r="T26" s="48">
        <v>32</v>
      </c>
      <c r="U26" s="4">
        <v>48</v>
      </c>
      <c r="V26" s="4">
        <f>T26*S26</f>
        <v>32</v>
      </c>
      <c r="W26" s="4">
        <f>U26*S26</f>
        <v>48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52">
        <v>0.39583333333333331</v>
      </c>
      <c r="I27" s="43">
        <v>0.41666666666666663</v>
      </c>
      <c r="J27" s="4">
        <v>30</v>
      </c>
      <c r="K27" s="43"/>
      <c r="L27" s="52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53">
        <v>0.5</v>
      </c>
      <c r="T27" s="48">
        <v>32</v>
      </c>
      <c r="U27" s="4">
        <v>48</v>
      </c>
      <c r="V27" s="4">
        <f>T27*S27</f>
        <v>16</v>
      </c>
      <c r="W27" s="4">
        <f>U27*S27</f>
        <v>24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56">
        <v>0.45833333333333337</v>
      </c>
      <c r="J28" s="4">
        <v>60</v>
      </c>
      <c r="K28" s="43"/>
      <c r="L28" s="45">
        <v>0.41666666666666669</v>
      </c>
      <c r="M28" s="56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50">
        <v>1.5</v>
      </c>
      <c r="T28" s="48">
        <v>32</v>
      </c>
      <c r="U28" s="4">
        <v>48</v>
      </c>
      <c r="V28" s="4">
        <f>T28*S28</f>
        <v>48</v>
      </c>
      <c r="W28" s="4">
        <f>U28*S28</f>
        <v>72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52">
        <v>0.47916666666666669</v>
      </c>
      <c r="I29" s="56">
        <v>0.5</v>
      </c>
      <c r="J29" s="4">
        <v>30</v>
      </c>
      <c r="K29" s="43"/>
      <c r="L29" s="52">
        <v>0.47916666666666669</v>
      </c>
      <c r="M29" s="56">
        <v>0.5</v>
      </c>
      <c r="N29" s="4">
        <v>30</v>
      </c>
      <c r="O29" s="4" t="s">
        <v>156</v>
      </c>
      <c r="P29" s="4" t="s">
        <v>269</v>
      </c>
      <c r="Q29" s="4"/>
      <c r="R29" s="4"/>
      <c r="S29" s="50">
        <v>1</v>
      </c>
      <c r="T29" s="48">
        <v>32</v>
      </c>
      <c r="U29" s="4">
        <v>48</v>
      </c>
      <c r="V29" s="4">
        <f>T29*S29</f>
        <v>32</v>
      </c>
      <c r="W29" s="4">
        <f>U29*S29</f>
        <v>48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52">
        <v>0.60416666666666663</v>
      </c>
      <c r="I30" s="43">
        <v>0.625</v>
      </c>
      <c r="J30" s="4">
        <v>30</v>
      </c>
      <c r="K30" s="43"/>
      <c r="L30" s="52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53">
        <v>0.5</v>
      </c>
      <c r="T30" s="48">
        <v>32</v>
      </c>
      <c r="U30" s="4">
        <v>48</v>
      </c>
      <c r="V30" s="4">
        <f>T30*S30</f>
        <v>16</v>
      </c>
      <c r="W30" s="4">
        <f>U30*S30</f>
        <v>24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56">
        <v>0.70833333333333337</v>
      </c>
      <c r="J31" s="4">
        <v>90</v>
      </c>
      <c r="K31" s="43"/>
      <c r="L31" s="45">
        <v>0.64583333333333337</v>
      </c>
      <c r="M31" s="56">
        <v>0.70833333333333337</v>
      </c>
      <c r="N31" s="4">
        <v>90</v>
      </c>
      <c r="O31" s="6" t="s">
        <v>26</v>
      </c>
      <c r="P31" s="4" t="s">
        <v>376</v>
      </c>
      <c r="Q31" s="59" t="s">
        <v>813</v>
      </c>
      <c r="R31" s="4"/>
      <c r="S31" s="50">
        <v>2.5</v>
      </c>
      <c r="T31" s="48">
        <v>32</v>
      </c>
      <c r="U31" s="4">
        <v>48</v>
      </c>
      <c r="V31" s="4">
        <f>T31*S31</f>
        <v>80</v>
      </c>
      <c r="W31" s="4">
        <f>U31*S31</f>
        <v>120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52">
        <v>0.64583333333333337</v>
      </c>
      <c r="I32" s="56">
        <v>0.6875</v>
      </c>
      <c r="J32" s="4">
        <v>60</v>
      </c>
      <c r="K32" s="43"/>
      <c r="L32" s="52">
        <v>0.64583333333333337</v>
      </c>
      <c r="M32" s="56">
        <v>0.6875</v>
      </c>
      <c r="N32" s="4">
        <v>60</v>
      </c>
      <c r="O32" s="6" t="s">
        <v>120</v>
      </c>
      <c r="P32" s="4" t="s">
        <v>187</v>
      </c>
      <c r="Q32" s="4"/>
      <c r="R32" s="4"/>
      <c r="S32" s="50">
        <v>1</v>
      </c>
      <c r="T32" s="48">
        <v>32</v>
      </c>
      <c r="U32" s="4">
        <v>48</v>
      </c>
      <c r="V32" s="4">
        <f>T32*S32</f>
        <v>32</v>
      </c>
      <c r="W32" s="4">
        <f>U32*S32</f>
        <v>48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52">
        <v>0.375</v>
      </c>
      <c r="I33" s="43">
        <v>0.38541666666666669</v>
      </c>
      <c r="J33" s="4">
        <v>15</v>
      </c>
      <c r="K33" s="43"/>
      <c r="L33" s="52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53">
        <v>0.25</v>
      </c>
      <c r="T33" s="48">
        <v>32</v>
      </c>
      <c r="U33" s="4">
        <v>48</v>
      </c>
      <c r="V33" s="4">
        <f>T33*S33</f>
        <v>8</v>
      </c>
      <c r="W33" s="4">
        <f>U33*S33</f>
        <v>12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59" t="s">
        <v>813</v>
      </c>
      <c r="R34" s="4"/>
      <c r="S34" s="53">
        <v>0.75</v>
      </c>
      <c r="T34" s="48">
        <v>32</v>
      </c>
      <c r="U34" s="4">
        <v>48</v>
      </c>
      <c r="V34" s="4">
        <f>T34*S34</f>
        <v>24</v>
      </c>
      <c r="W34" s="4">
        <f>U34*S34</f>
        <v>36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56">
        <v>0.43750000000000006</v>
      </c>
      <c r="J35" s="4">
        <v>40</v>
      </c>
      <c r="K35" s="43"/>
      <c r="L35" s="45">
        <v>0.40972222222222227</v>
      </c>
      <c r="M35" s="56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50">
        <v>1.5</v>
      </c>
      <c r="T35" s="48">
        <v>32</v>
      </c>
      <c r="U35" s="4">
        <v>48</v>
      </c>
      <c r="V35" s="4">
        <f>T35*S35</f>
        <v>48</v>
      </c>
      <c r="W35" s="4">
        <f>U35*S35</f>
        <v>72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52">
        <v>0.64583333333333337</v>
      </c>
      <c r="I36" s="56">
        <v>0.66666666666666674</v>
      </c>
      <c r="J36" s="4">
        <v>30</v>
      </c>
      <c r="K36" s="43"/>
      <c r="L36" s="52">
        <v>0.64583333333333337</v>
      </c>
      <c r="M36" s="56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50">
        <v>1</v>
      </c>
      <c r="T36" s="48">
        <v>32</v>
      </c>
      <c r="U36" s="4">
        <v>48</v>
      </c>
      <c r="V36" s="4">
        <f>T36*S36</f>
        <v>32</v>
      </c>
      <c r="W36" s="4">
        <f>U36*S36</f>
        <v>48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52">
        <v>0.64236111111111105</v>
      </c>
      <c r="I37" s="56">
        <v>0.66666666666666663</v>
      </c>
      <c r="J37" s="4">
        <v>35</v>
      </c>
      <c r="K37" s="43"/>
      <c r="L37" s="52">
        <v>0.64236111111111105</v>
      </c>
      <c r="M37" s="56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50">
        <v>1</v>
      </c>
      <c r="T37" s="48">
        <v>32</v>
      </c>
      <c r="U37" s="4">
        <v>48</v>
      </c>
      <c r="V37" s="4">
        <f>T37*S37</f>
        <v>32</v>
      </c>
      <c r="W37" s="4">
        <f>U37*S37</f>
        <v>48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52">
        <v>0.66666666666666663</v>
      </c>
      <c r="I38" s="43">
        <v>0.6875</v>
      </c>
      <c r="J38" s="4">
        <v>30</v>
      </c>
      <c r="K38" s="43"/>
      <c r="L38" s="52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53">
        <v>0.5</v>
      </c>
      <c r="T38" s="48">
        <v>32</v>
      </c>
      <c r="U38" s="4">
        <v>48</v>
      </c>
      <c r="V38" s="4">
        <f>T38*S38</f>
        <v>16</v>
      </c>
      <c r="W38" s="4">
        <f>U38*S38</f>
        <v>24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56">
        <v>0.70833333333333337</v>
      </c>
      <c r="J39" s="4">
        <v>30</v>
      </c>
      <c r="K39" s="43"/>
      <c r="L39" s="45">
        <v>0.6875</v>
      </c>
      <c r="M39" s="56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50">
        <v>1</v>
      </c>
      <c r="T39" s="48">
        <v>32</v>
      </c>
      <c r="U39" s="4">
        <v>48</v>
      </c>
      <c r="V39" s="4">
        <f>T39*S39</f>
        <v>32</v>
      </c>
      <c r="W39" s="4">
        <f>U39*S39</f>
        <v>48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52">
        <v>0.54166666666666663</v>
      </c>
      <c r="I40" s="43">
        <v>0.5625</v>
      </c>
      <c r="J40" s="4">
        <v>30</v>
      </c>
      <c r="K40" s="43"/>
      <c r="L40" s="52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53">
        <v>0.5</v>
      </c>
      <c r="T40" s="48">
        <v>32</v>
      </c>
      <c r="U40" s="4">
        <v>48</v>
      </c>
      <c r="V40" s="4">
        <f>T40*S40</f>
        <v>16</v>
      </c>
      <c r="W40" s="4">
        <f>U40*S40</f>
        <v>24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56">
        <v>0.60416666666666663</v>
      </c>
      <c r="J41" s="4">
        <v>15</v>
      </c>
      <c r="K41" s="43"/>
      <c r="L41" s="45">
        <v>0.59375</v>
      </c>
      <c r="M41" s="56">
        <v>0.60416666666666663</v>
      </c>
      <c r="N41" s="4">
        <v>15</v>
      </c>
      <c r="O41" s="6" t="s">
        <v>26</v>
      </c>
      <c r="P41" s="4" t="s">
        <v>372</v>
      </c>
      <c r="Q41" s="59" t="s">
        <v>813</v>
      </c>
      <c r="R41" s="4"/>
      <c r="S41" s="50">
        <v>1.5</v>
      </c>
      <c r="T41" s="48">
        <v>32</v>
      </c>
      <c r="U41" s="4">
        <v>48</v>
      </c>
      <c r="V41" s="4">
        <f>T41*S41</f>
        <v>48</v>
      </c>
      <c r="W41" s="4">
        <f>U41*S41</f>
        <v>72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52">
        <v>0.60416666666666663</v>
      </c>
      <c r="I42" s="56">
        <v>0.625</v>
      </c>
      <c r="J42" s="4">
        <v>30</v>
      </c>
      <c r="K42" s="43"/>
      <c r="L42" s="52">
        <v>0.60416666666666663</v>
      </c>
      <c r="M42" s="56">
        <v>0.625</v>
      </c>
      <c r="N42" s="4">
        <v>30</v>
      </c>
      <c r="O42" s="4" t="s">
        <v>291</v>
      </c>
      <c r="P42" s="4" t="s">
        <v>681</v>
      </c>
      <c r="Q42" s="4"/>
      <c r="R42" s="4"/>
      <c r="S42" s="50">
        <v>1</v>
      </c>
      <c r="T42" s="48">
        <v>32</v>
      </c>
      <c r="U42" s="4">
        <v>48</v>
      </c>
      <c r="V42" s="4">
        <f>T42*S42</f>
        <v>32</v>
      </c>
      <c r="W42" s="4">
        <f>U42*S42</f>
        <v>48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52">
        <v>0.60069444444444442</v>
      </c>
      <c r="I43" s="56">
        <v>0.64236111111111105</v>
      </c>
      <c r="J43" s="4">
        <v>60</v>
      </c>
      <c r="K43" s="43"/>
      <c r="L43" s="52">
        <v>0.60069444444444442</v>
      </c>
      <c r="M43" s="56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50">
        <v>1</v>
      </c>
      <c r="T43" s="48">
        <v>32</v>
      </c>
      <c r="U43" s="4">
        <v>48</v>
      </c>
      <c r="V43" s="4">
        <f>T43*S43</f>
        <v>32</v>
      </c>
      <c r="W43" s="4">
        <f>U43*S43</f>
        <v>48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52">
        <v>0.64583333333333337</v>
      </c>
      <c r="I44" s="56">
        <v>0.6875</v>
      </c>
      <c r="J44" s="4">
        <v>60</v>
      </c>
      <c r="K44" s="43"/>
      <c r="L44" s="52">
        <v>0.64583333333333337</v>
      </c>
      <c r="M44" s="56">
        <v>0.6875</v>
      </c>
      <c r="N44" s="4">
        <v>60</v>
      </c>
      <c r="O44" s="6" t="s">
        <v>120</v>
      </c>
      <c r="P44" s="4" t="s">
        <v>187</v>
      </c>
      <c r="Q44" s="4"/>
      <c r="R44" s="4"/>
      <c r="S44" s="50">
        <v>1</v>
      </c>
      <c r="T44" s="48">
        <v>32</v>
      </c>
      <c r="U44" s="4">
        <v>48</v>
      </c>
      <c r="V44" s="4">
        <f>T44*S44</f>
        <v>32</v>
      </c>
      <c r="W44" s="4">
        <f>U44*S44</f>
        <v>48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52">
        <v>0.41666666666666669</v>
      </c>
      <c r="I45" s="56">
        <v>0.4375</v>
      </c>
      <c r="J45" s="4">
        <v>30</v>
      </c>
      <c r="K45" s="43"/>
      <c r="L45" s="52">
        <v>0.41666666666666669</v>
      </c>
      <c r="M45" s="56">
        <v>0.4375</v>
      </c>
      <c r="N45" s="4">
        <v>30</v>
      </c>
      <c r="O45" s="6" t="s">
        <v>146</v>
      </c>
      <c r="P45" s="4"/>
      <c r="Q45" s="4"/>
      <c r="R45" s="4"/>
      <c r="S45" s="50">
        <v>1</v>
      </c>
      <c r="T45" s="48">
        <v>27</v>
      </c>
      <c r="U45" s="4">
        <v>48</v>
      </c>
      <c r="V45" s="4">
        <f>T45*S45</f>
        <v>27</v>
      </c>
      <c r="W45" s="4">
        <f>U45*S45</f>
        <v>48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52">
        <v>0.3125</v>
      </c>
      <c r="I46" s="43">
        <v>0.32291666666666669</v>
      </c>
      <c r="J46" s="4">
        <v>15</v>
      </c>
      <c r="K46" s="43"/>
      <c r="L46" s="52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53">
        <v>0.25</v>
      </c>
      <c r="T46" s="48">
        <v>27</v>
      </c>
      <c r="U46" s="4">
        <v>48</v>
      </c>
      <c r="V46" s="4">
        <f>T46*S46</f>
        <v>6.75</v>
      </c>
      <c r="W46" s="4">
        <f>U46*S46</f>
        <v>12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53">
        <v>1.25</v>
      </c>
      <c r="T47" s="48">
        <v>27</v>
      </c>
      <c r="U47" s="4">
        <v>48</v>
      </c>
      <c r="V47" s="4">
        <f>T47*S47</f>
        <v>33.75</v>
      </c>
      <c r="W47" s="4">
        <f>U47*S47</f>
        <v>60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56">
        <v>0.38541666666666669</v>
      </c>
      <c r="J48" s="4">
        <v>15</v>
      </c>
      <c r="K48" s="43"/>
      <c r="L48" s="43">
        <v>0.375</v>
      </c>
      <c r="M48" s="56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50">
        <v>1.75</v>
      </c>
      <c r="T48" s="48">
        <v>27</v>
      </c>
      <c r="U48" s="4">
        <v>48</v>
      </c>
      <c r="V48" s="4">
        <f>T48*S48</f>
        <v>47.25</v>
      </c>
      <c r="W48" s="4">
        <f>U48*S48</f>
        <v>84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52">
        <v>0.33333333333333331</v>
      </c>
      <c r="I49" s="56">
        <v>0.41666666666666663</v>
      </c>
      <c r="J49" s="4">
        <v>120</v>
      </c>
      <c r="K49" s="43"/>
      <c r="L49" s="52">
        <v>0.33333333333333331</v>
      </c>
      <c r="M49" s="56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50">
        <v>2</v>
      </c>
      <c r="T49" s="48">
        <v>27</v>
      </c>
      <c r="U49" s="4">
        <v>48</v>
      </c>
      <c r="V49" s="4">
        <f>T49*S49</f>
        <v>54</v>
      </c>
      <c r="W49" s="4">
        <f>U49*S49</f>
        <v>96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52">
        <v>0.48958333333333331</v>
      </c>
      <c r="I50" s="43">
        <v>0.57291666666666663</v>
      </c>
      <c r="J50" s="4">
        <v>120</v>
      </c>
      <c r="K50" s="43"/>
      <c r="L50" s="52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53">
        <v>2</v>
      </c>
      <c r="T50" s="48">
        <v>30</v>
      </c>
      <c r="U50" s="4">
        <v>48</v>
      </c>
      <c r="V50" s="4">
        <f>T50*S50</f>
        <v>60</v>
      </c>
      <c r="W50" s="4">
        <f>U50*S50</f>
        <v>96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56">
        <v>0.66666666666666663</v>
      </c>
      <c r="J51" s="4">
        <v>150</v>
      </c>
      <c r="K51" s="43"/>
      <c r="L51" s="45">
        <v>0.5625</v>
      </c>
      <c r="M51" s="56">
        <v>0.66666666666666663</v>
      </c>
      <c r="N51" s="4">
        <v>150</v>
      </c>
      <c r="O51" s="6" t="s">
        <v>115</v>
      </c>
      <c r="P51" s="4" t="s">
        <v>116</v>
      </c>
      <c r="Q51" s="59" t="s">
        <v>814</v>
      </c>
      <c r="R51" s="4"/>
      <c r="S51" s="50">
        <v>4.25</v>
      </c>
      <c r="T51" s="48">
        <v>30</v>
      </c>
      <c r="U51" s="4">
        <v>48</v>
      </c>
      <c r="V51" s="4">
        <f>T51*S51</f>
        <v>127.5</v>
      </c>
      <c r="W51" s="4">
        <f>U51*S51</f>
        <v>204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52">
        <v>0.58333333333333337</v>
      </c>
      <c r="I52" s="56">
        <v>0.60416666666666674</v>
      </c>
      <c r="J52" s="4">
        <v>30</v>
      </c>
      <c r="K52" s="43"/>
      <c r="L52" s="52">
        <v>0.58333333333333337</v>
      </c>
      <c r="M52" s="56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50">
        <v>1</v>
      </c>
      <c r="T52" s="48">
        <v>30</v>
      </c>
      <c r="U52" s="4">
        <v>48</v>
      </c>
      <c r="V52" s="4">
        <f>T52*S52</f>
        <v>30</v>
      </c>
      <c r="W52" s="4">
        <f>U52*S52</f>
        <v>48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52">
        <v>0.58333333333333337</v>
      </c>
      <c r="I53" s="56">
        <v>0.60416666666666663</v>
      </c>
      <c r="J53" s="4">
        <v>30</v>
      </c>
      <c r="K53" s="43"/>
      <c r="L53" s="52">
        <v>0.58333333333333337</v>
      </c>
      <c r="M53" s="56">
        <v>0.60416666666666663</v>
      </c>
      <c r="N53" s="4">
        <v>30</v>
      </c>
      <c r="O53" s="6" t="s">
        <v>378</v>
      </c>
      <c r="P53" s="4"/>
      <c r="Q53" s="4"/>
      <c r="R53" s="4"/>
      <c r="S53" s="50">
        <v>1</v>
      </c>
      <c r="T53" s="48">
        <v>30</v>
      </c>
      <c r="U53" s="4">
        <v>48</v>
      </c>
      <c r="V53" s="4">
        <f>T53*S53</f>
        <v>30</v>
      </c>
      <c r="W53" s="4">
        <f>U53*S53</f>
        <v>48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52">
        <v>0.45833333333333331</v>
      </c>
      <c r="I54" s="43">
        <v>0.47916666666666663</v>
      </c>
      <c r="J54" s="4">
        <v>30</v>
      </c>
      <c r="K54" s="43"/>
      <c r="L54" s="52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53">
        <v>0.5</v>
      </c>
      <c r="T54" s="48">
        <v>30</v>
      </c>
      <c r="U54" s="4">
        <v>48</v>
      </c>
      <c r="V54" s="4">
        <f>T54*S54</f>
        <v>15</v>
      </c>
      <c r="W54" s="4">
        <f>U54*S54</f>
        <v>24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56">
        <v>0.58333333333333337</v>
      </c>
      <c r="J55" s="4">
        <v>90</v>
      </c>
      <c r="K55" s="43"/>
      <c r="L55" s="45">
        <v>0.52083333333333337</v>
      </c>
      <c r="M55" s="56">
        <v>0.58333333333333337</v>
      </c>
      <c r="N55" s="4">
        <v>90</v>
      </c>
      <c r="O55" s="6" t="s">
        <v>26</v>
      </c>
      <c r="P55" s="4" t="s">
        <v>192</v>
      </c>
      <c r="Q55" s="59" t="s">
        <v>813</v>
      </c>
      <c r="R55" s="4"/>
      <c r="S55" s="50">
        <v>3</v>
      </c>
      <c r="T55" s="48">
        <v>30</v>
      </c>
      <c r="U55" s="4">
        <v>48</v>
      </c>
      <c r="V55" s="4">
        <f>T55*S55</f>
        <v>90</v>
      </c>
      <c r="W55" s="4">
        <f>U55*S55</f>
        <v>144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52">
        <v>0.35416666666666669</v>
      </c>
      <c r="I56" s="43">
        <v>0.375</v>
      </c>
      <c r="J56" s="4">
        <v>30</v>
      </c>
      <c r="K56" s="43"/>
      <c r="L56" s="52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53">
        <v>0.5</v>
      </c>
      <c r="T56" s="48">
        <v>30</v>
      </c>
      <c r="U56" s="4">
        <v>48</v>
      </c>
      <c r="V56" s="4">
        <f>T56*S56</f>
        <v>15</v>
      </c>
      <c r="W56" s="4">
        <f>U56*S56</f>
        <v>24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56">
        <v>0.47916666666666669</v>
      </c>
      <c r="J57" s="4">
        <v>90</v>
      </c>
      <c r="K57" s="43"/>
      <c r="L57" s="45">
        <v>0.41666666666666669</v>
      </c>
      <c r="M57" s="56">
        <v>0.47916666666666669</v>
      </c>
      <c r="N57" s="4">
        <v>90</v>
      </c>
      <c r="O57" s="6" t="s">
        <v>26</v>
      </c>
      <c r="P57" s="4" t="s">
        <v>192</v>
      </c>
      <c r="Q57" s="59" t="s">
        <v>813</v>
      </c>
      <c r="R57" s="4"/>
      <c r="S57" s="50">
        <v>3</v>
      </c>
      <c r="T57" s="48">
        <v>30</v>
      </c>
      <c r="U57" s="4">
        <v>48</v>
      </c>
      <c r="V57" s="4">
        <f>T57*S57</f>
        <v>90</v>
      </c>
      <c r="W57" s="4">
        <f>U57*S57</f>
        <v>144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52">
        <v>0.35416666666666669</v>
      </c>
      <c r="I58" s="56">
        <v>0.45833333333333331</v>
      </c>
      <c r="J58" s="4">
        <v>150</v>
      </c>
      <c r="K58" s="43"/>
      <c r="L58" s="52">
        <v>0.35416666666666669</v>
      </c>
      <c r="M58" s="56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50">
        <v>2.5</v>
      </c>
      <c r="T58" s="48">
        <v>30</v>
      </c>
      <c r="U58" s="4">
        <v>48</v>
      </c>
      <c r="V58" s="4">
        <f>T58*S58</f>
        <v>75</v>
      </c>
      <c r="W58" s="4">
        <f>U58*S58</f>
        <v>120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52">
        <v>0.63194444444444442</v>
      </c>
      <c r="I59" s="56">
        <v>0.73611111111111116</v>
      </c>
      <c r="J59" s="4">
        <v>150</v>
      </c>
      <c r="K59" s="43"/>
      <c r="L59" s="52">
        <v>0.63194444444444442</v>
      </c>
      <c r="M59" s="56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50">
        <v>2.5</v>
      </c>
      <c r="T59" s="48">
        <v>30</v>
      </c>
      <c r="U59" s="4">
        <v>48</v>
      </c>
      <c r="V59" s="4">
        <f>T59*S59</f>
        <v>75</v>
      </c>
      <c r="W59" s="4">
        <f>U59*S59</f>
        <v>120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52">
        <v>0.32291666666666669</v>
      </c>
      <c r="I60" s="43">
        <v>0.375</v>
      </c>
      <c r="J60" s="4">
        <v>75</v>
      </c>
      <c r="K60" s="43"/>
      <c r="L60" s="52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53">
        <v>1.25</v>
      </c>
      <c r="T60" s="48">
        <v>30</v>
      </c>
      <c r="U60" s="4">
        <v>48</v>
      </c>
      <c r="V60" s="4">
        <f>T60*S60</f>
        <v>37.5</v>
      </c>
      <c r="W60" s="4">
        <f>U60*S60</f>
        <v>60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59" t="s">
        <v>814</v>
      </c>
      <c r="R61" s="4"/>
      <c r="S61" s="53">
        <v>1</v>
      </c>
      <c r="T61" s="48">
        <v>30</v>
      </c>
      <c r="U61" s="4">
        <v>48</v>
      </c>
      <c r="V61" s="4">
        <f>T61*S61</f>
        <v>30</v>
      </c>
      <c r="W61" s="4">
        <f>U61*S61</f>
        <v>48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53">
        <v>0.5</v>
      </c>
      <c r="T62" s="48">
        <v>30</v>
      </c>
      <c r="U62" s="4">
        <v>48</v>
      </c>
      <c r="V62" s="4">
        <f>T62*S62</f>
        <v>15</v>
      </c>
      <c r="W62" s="4">
        <f>U62*S62</f>
        <v>24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56">
        <v>0.47222222222222221</v>
      </c>
      <c r="J63" s="4">
        <v>20</v>
      </c>
      <c r="K63" s="43"/>
      <c r="L63" s="43">
        <v>0.45833333333333331</v>
      </c>
      <c r="M63" s="56">
        <v>0.47222222222222221</v>
      </c>
      <c r="N63" s="4">
        <v>20</v>
      </c>
      <c r="O63" s="4" t="s">
        <v>181</v>
      </c>
      <c r="P63" s="4" t="s">
        <v>239</v>
      </c>
      <c r="Q63" s="59" t="s">
        <v>813</v>
      </c>
      <c r="R63" s="4"/>
      <c r="S63" s="50">
        <v>3.75</v>
      </c>
      <c r="T63" s="48">
        <v>30</v>
      </c>
      <c r="U63" s="4">
        <v>48</v>
      </c>
      <c r="V63" s="4">
        <f>T63*S63</f>
        <v>112.5</v>
      </c>
      <c r="W63" s="4">
        <f>U63*S63</f>
        <v>180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52">
        <v>0.45833333333333331</v>
      </c>
      <c r="I64" s="43">
        <v>0.54166666666666663</v>
      </c>
      <c r="J64" s="4">
        <v>120</v>
      </c>
      <c r="K64" s="43"/>
      <c r="L64" s="52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53">
        <v>2</v>
      </c>
      <c r="T64" s="48">
        <v>30</v>
      </c>
      <c r="U64" s="4">
        <v>48</v>
      </c>
      <c r="V64" s="4">
        <f>T64*S64</f>
        <v>60</v>
      </c>
      <c r="W64" s="4">
        <f>U64*S64</f>
        <v>96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56">
        <v>0.54166666666666663</v>
      </c>
      <c r="J65" s="4">
        <v>60</v>
      </c>
      <c r="K65" s="43"/>
      <c r="L65" s="43">
        <v>0.5</v>
      </c>
      <c r="M65" s="56">
        <v>0.54166666666666663</v>
      </c>
      <c r="N65" s="4">
        <v>60</v>
      </c>
      <c r="O65" s="4" t="s">
        <v>26</v>
      </c>
      <c r="P65" s="4" t="s">
        <v>596</v>
      </c>
      <c r="Q65" s="59" t="s">
        <v>814</v>
      </c>
      <c r="R65" s="4"/>
      <c r="S65" s="50">
        <v>2</v>
      </c>
      <c r="T65" s="48">
        <v>30</v>
      </c>
      <c r="U65" s="4">
        <v>48</v>
      </c>
      <c r="V65" s="4">
        <f>T65*S65</f>
        <v>60</v>
      </c>
      <c r="W65" s="4">
        <f>U65*S65</f>
        <v>96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52">
        <v>0.52083333333333337</v>
      </c>
      <c r="I66" s="56">
        <v>0.59027777777777779</v>
      </c>
      <c r="J66" s="4">
        <v>100</v>
      </c>
      <c r="K66" s="43"/>
      <c r="L66" s="52">
        <v>0.52083333333333337</v>
      </c>
      <c r="M66" s="56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50">
        <v>1.75</v>
      </c>
      <c r="T66" s="48">
        <v>40</v>
      </c>
      <c r="U66" s="4">
        <v>48</v>
      </c>
      <c r="V66" s="4">
        <f>T66*S66</f>
        <v>70</v>
      </c>
      <c r="W66" s="4">
        <f>U66*S66</f>
        <v>84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52">
        <v>0.4375</v>
      </c>
      <c r="I67" s="56">
        <v>0.46527777777777779</v>
      </c>
      <c r="J67" s="4">
        <v>40</v>
      </c>
      <c r="K67" s="43"/>
      <c r="L67" s="52">
        <v>0.4375</v>
      </c>
      <c r="M67" s="56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50">
        <v>1</v>
      </c>
      <c r="T67" s="48">
        <v>40</v>
      </c>
      <c r="U67" s="4">
        <v>48</v>
      </c>
      <c r="V67" s="4">
        <f>T67*S67</f>
        <v>40</v>
      </c>
      <c r="W67" s="4">
        <f>U67*S67</f>
        <v>48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52">
        <v>0.625</v>
      </c>
      <c r="I68" s="43">
        <v>0.64583333333333337</v>
      </c>
      <c r="J68" s="4">
        <v>30</v>
      </c>
      <c r="K68" s="43"/>
      <c r="L68" s="52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53">
        <v>0.5</v>
      </c>
      <c r="T68" s="48">
        <v>40</v>
      </c>
      <c r="U68" s="4">
        <v>48</v>
      </c>
      <c r="V68" s="4">
        <f>T68*S68</f>
        <v>20</v>
      </c>
      <c r="W68" s="4">
        <f>U68*S68</f>
        <v>24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56">
        <v>0.75</v>
      </c>
      <c r="J69" s="4">
        <v>90</v>
      </c>
      <c r="K69" s="43"/>
      <c r="L69" s="45">
        <v>0.6875</v>
      </c>
      <c r="M69" s="56">
        <v>0.75</v>
      </c>
      <c r="N69" s="4">
        <v>90</v>
      </c>
      <c r="O69" s="6" t="s">
        <v>323</v>
      </c>
      <c r="P69" s="4" t="s">
        <v>772</v>
      </c>
      <c r="Q69" s="59" t="s">
        <v>813</v>
      </c>
      <c r="R69" s="4"/>
      <c r="S69" s="50">
        <v>3</v>
      </c>
      <c r="T69" s="48">
        <v>40</v>
      </c>
      <c r="U69" s="4">
        <v>48</v>
      </c>
      <c r="V69" s="4">
        <f>T69*S69</f>
        <v>120</v>
      </c>
      <c r="W69" s="4">
        <f>U69*S69</f>
        <v>144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52">
        <v>0.50694444444444442</v>
      </c>
      <c r="I70" s="43">
        <v>0.61111111111111105</v>
      </c>
      <c r="J70" s="4">
        <v>150</v>
      </c>
      <c r="K70" s="43"/>
      <c r="L70" s="52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53">
        <v>2.5</v>
      </c>
      <c r="T70" s="48">
        <v>25</v>
      </c>
      <c r="U70" s="4">
        <v>48</v>
      </c>
      <c r="V70" s="4">
        <f>T70*S70</f>
        <v>62.5</v>
      </c>
      <c r="W70" s="4">
        <f>U70*S70</f>
        <v>120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53">
        <v>0.25</v>
      </c>
      <c r="T71" s="48">
        <v>25</v>
      </c>
      <c r="U71" s="4">
        <v>48</v>
      </c>
      <c r="V71" s="4">
        <f>T71*S71</f>
        <v>6.25</v>
      </c>
      <c r="W71" s="4">
        <f>U71*S71</f>
        <v>12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56">
        <v>0.64583333333333337</v>
      </c>
      <c r="J72" s="4">
        <v>40</v>
      </c>
      <c r="K72" s="43"/>
      <c r="L72" s="45">
        <v>0.61805555555555558</v>
      </c>
      <c r="M72" s="56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50">
        <v>3.5</v>
      </c>
      <c r="T72" s="48">
        <v>25</v>
      </c>
      <c r="U72" s="4">
        <v>48</v>
      </c>
      <c r="V72" s="4">
        <f>T72*S72</f>
        <v>87.5</v>
      </c>
      <c r="W72" s="4">
        <f>U72*S72</f>
        <v>168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52">
        <v>0.41666666666666669</v>
      </c>
      <c r="I73" s="43">
        <v>0.45833333333333337</v>
      </c>
      <c r="J73" s="4">
        <v>60</v>
      </c>
      <c r="K73" s="43"/>
      <c r="L73" s="52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53">
        <v>1</v>
      </c>
      <c r="T73" s="48">
        <v>25</v>
      </c>
      <c r="U73" s="4">
        <v>48</v>
      </c>
      <c r="V73" s="4">
        <f>T73*S73</f>
        <v>25</v>
      </c>
      <c r="W73" s="4">
        <f>U73*S73</f>
        <v>48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56">
        <v>0.5</v>
      </c>
      <c r="J74" s="4">
        <v>60</v>
      </c>
      <c r="K74" s="43"/>
      <c r="L74" s="45">
        <v>0.45833333333333331</v>
      </c>
      <c r="M74" s="56">
        <v>0.5</v>
      </c>
      <c r="N74" s="4">
        <v>60</v>
      </c>
      <c r="O74" s="6" t="s">
        <v>120</v>
      </c>
      <c r="P74" s="4" t="s">
        <v>187</v>
      </c>
      <c r="Q74" s="4"/>
      <c r="R74" s="4"/>
      <c r="S74" s="50">
        <v>2</v>
      </c>
      <c r="T74" s="48">
        <v>25</v>
      </c>
      <c r="U74" s="4">
        <v>48</v>
      </c>
      <c r="V74" s="4">
        <f>T74*S74</f>
        <v>50</v>
      </c>
      <c r="W74" s="4">
        <f>U74*S74</f>
        <v>96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52">
        <v>0.41666666666666669</v>
      </c>
      <c r="I75" s="43">
        <v>0.45833333333333331</v>
      </c>
      <c r="J75" s="4">
        <v>60</v>
      </c>
      <c r="K75" s="43"/>
      <c r="L75" s="52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53">
        <v>1</v>
      </c>
      <c r="T75" s="48">
        <v>25</v>
      </c>
      <c r="U75" s="4">
        <v>48</v>
      </c>
      <c r="V75" s="4">
        <f>T75*S75</f>
        <v>25</v>
      </c>
      <c r="W75" s="4">
        <f>U75*S75</f>
        <v>48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56">
        <v>0.47916666666666669</v>
      </c>
      <c r="J76" s="4">
        <v>30</v>
      </c>
      <c r="K76" s="43"/>
      <c r="L76" s="43">
        <v>0.45833333333333331</v>
      </c>
      <c r="M76" s="56">
        <v>0.47916666666666669</v>
      </c>
      <c r="N76" s="4">
        <v>30</v>
      </c>
      <c r="O76" s="6" t="s">
        <v>146</v>
      </c>
      <c r="P76" s="4"/>
      <c r="Q76" s="4"/>
      <c r="R76" s="4"/>
      <c r="S76" s="50">
        <v>1.5</v>
      </c>
      <c r="T76" s="48">
        <v>25</v>
      </c>
      <c r="U76" s="4">
        <v>48</v>
      </c>
      <c r="V76" s="4">
        <f>T76*S76</f>
        <v>37.5</v>
      </c>
      <c r="W76" s="4">
        <f>U76*S76</f>
        <v>72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52">
        <v>0.5</v>
      </c>
      <c r="I77" s="56">
        <v>0.54166666666666663</v>
      </c>
      <c r="J77" s="4">
        <v>60</v>
      </c>
      <c r="K77" s="43"/>
      <c r="L77" s="52">
        <v>0.5</v>
      </c>
      <c r="M77" s="56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50">
        <v>1</v>
      </c>
      <c r="T77" s="48">
        <v>25</v>
      </c>
      <c r="U77" s="4">
        <v>48</v>
      </c>
      <c r="V77" s="4">
        <f>T77*S77</f>
        <v>25</v>
      </c>
      <c r="W77" s="4">
        <f>U77*S77</f>
        <v>48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52">
        <v>0.5625</v>
      </c>
      <c r="I78" s="43">
        <v>0.57291666666666663</v>
      </c>
      <c r="J78" s="4">
        <v>15</v>
      </c>
      <c r="K78" s="43"/>
      <c r="L78" s="52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53">
        <v>0.25</v>
      </c>
      <c r="T78" s="48">
        <v>25</v>
      </c>
      <c r="U78" s="4">
        <v>48</v>
      </c>
      <c r="V78" s="4">
        <f>T78*S78</f>
        <v>6.25</v>
      </c>
      <c r="W78" s="4">
        <f>U78*S78</f>
        <v>12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53">
        <v>0.5</v>
      </c>
      <c r="T79" s="48">
        <v>25</v>
      </c>
      <c r="U79" s="4">
        <v>48</v>
      </c>
      <c r="V79" s="4">
        <f>T79*S79</f>
        <v>12.5</v>
      </c>
      <c r="W79" s="4">
        <f>U79*S79</f>
        <v>24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56">
        <v>0.625</v>
      </c>
      <c r="J80" s="4">
        <v>40</v>
      </c>
      <c r="K80" s="43"/>
      <c r="L80" s="43">
        <v>0.59722222222222221</v>
      </c>
      <c r="M80" s="56">
        <v>0.625</v>
      </c>
      <c r="N80" s="4">
        <v>40</v>
      </c>
      <c r="O80" s="6" t="s">
        <v>74</v>
      </c>
      <c r="P80" s="4" t="s">
        <v>91</v>
      </c>
      <c r="Q80" s="4"/>
      <c r="R80" s="4"/>
      <c r="S80" s="50">
        <v>1.5</v>
      </c>
      <c r="T80" s="48">
        <v>25</v>
      </c>
      <c r="U80" s="4">
        <v>48</v>
      </c>
      <c r="V80" s="4">
        <f>T80*S80</f>
        <v>37.5</v>
      </c>
      <c r="W80" s="4">
        <f>U80*S80</f>
        <v>72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52">
        <v>0.5625</v>
      </c>
      <c r="I81" s="43">
        <v>0.57291666666666663</v>
      </c>
      <c r="J81" s="4">
        <v>15</v>
      </c>
      <c r="K81" s="43"/>
      <c r="L81" s="52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53">
        <v>0.25</v>
      </c>
      <c r="T81" s="48">
        <v>25</v>
      </c>
      <c r="U81" s="4">
        <v>48</v>
      </c>
      <c r="V81" s="4">
        <f>T81*S81</f>
        <v>6.25</v>
      </c>
      <c r="W81" s="4">
        <f>U81*S81</f>
        <v>12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56">
        <v>0.625</v>
      </c>
      <c r="J82" s="4">
        <v>60</v>
      </c>
      <c r="K82" s="43"/>
      <c r="L82" s="45">
        <v>0.58333333333333337</v>
      </c>
      <c r="M82" s="56">
        <v>0.625</v>
      </c>
      <c r="N82" s="4">
        <v>60</v>
      </c>
      <c r="O82" s="6" t="s">
        <v>156</v>
      </c>
      <c r="P82" s="4" t="s">
        <v>147</v>
      </c>
      <c r="Q82" s="4"/>
      <c r="R82" s="4"/>
      <c r="S82" s="50">
        <v>1.5</v>
      </c>
      <c r="T82" s="48">
        <v>25</v>
      </c>
      <c r="U82" s="4">
        <v>48</v>
      </c>
      <c r="V82" s="4">
        <f>T82*S82</f>
        <v>37.5</v>
      </c>
      <c r="W82" s="4">
        <f>U82*S82</f>
        <v>72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52">
        <v>0.5625</v>
      </c>
      <c r="I83" s="43">
        <v>0.58333333333333337</v>
      </c>
      <c r="J83" s="4">
        <v>30</v>
      </c>
      <c r="K83" s="43"/>
      <c r="L83" s="52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53">
        <v>0.5</v>
      </c>
      <c r="T83" s="48">
        <v>25</v>
      </c>
      <c r="U83" s="4">
        <v>48</v>
      </c>
      <c r="V83" s="4">
        <f>T83*S83</f>
        <v>12.5</v>
      </c>
      <c r="W83" s="4">
        <f>U83*S83</f>
        <v>24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56">
        <v>0.61458333333333337</v>
      </c>
      <c r="J84" s="4">
        <v>45</v>
      </c>
      <c r="K84" s="43"/>
      <c r="L84" s="45">
        <v>0.58333333333333337</v>
      </c>
      <c r="M84" s="56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50">
        <v>1.25</v>
      </c>
      <c r="T84" s="48">
        <v>25</v>
      </c>
      <c r="U84" s="4">
        <v>48</v>
      </c>
      <c r="V84" s="4">
        <f>T84*S84</f>
        <v>31.25</v>
      </c>
      <c r="W84" s="4">
        <f>U84*S84</f>
        <v>60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52">
        <v>0.52777777777777779</v>
      </c>
      <c r="I85" s="56">
        <v>0.63194444444444442</v>
      </c>
      <c r="J85" s="4">
        <v>150</v>
      </c>
      <c r="K85" s="43"/>
      <c r="L85" s="52">
        <v>0.52777777777777779</v>
      </c>
      <c r="M85" s="56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50">
        <v>2.5</v>
      </c>
      <c r="T85" s="48">
        <v>25</v>
      </c>
      <c r="U85" s="4">
        <v>48</v>
      </c>
      <c r="V85" s="4">
        <f>T85*S85</f>
        <v>62.5</v>
      </c>
      <c r="W85" s="4">
        <f>U85*S85</f>
        <v>120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52">
        <v>0.41666666666666669</v>
      </c>
      <c r="I86" s="43">
        <v>0.45833333333333337</v>
      </c>
      <c r="J86" s="4">
        <v>60</v>
      </c>
      <c r="K86" s="43"/>
      <c r="L86" s="52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53">
        <v>1</v>
      </c>
      <c r="T86" s="48">
        <v>28</v>
      </c>
      <c r="U86" s="4">
        <v>48</v>
      </c>
      <c r="V86" s="4">
        <f>T86*S86</f>
        <v>28</v>
      </c>
      <c r="W86" s="4">
        <f>U86*S86</f>
        <v>48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53">
        <v>1</v>
      </c>
      <c r="T87" s="48">
        <v>28</v>
      </c>
      <c r="U87" s="4">
        <v>48</v>
      </c>
      <c r="V87" s="4">
        <f>T87*S87</f>
        <v>28</v>
      </c>
      <c r="W87" s="4">
        <f>U87*S87</f>
        <v>48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59" t="s">
        <v>813</v>
      </c>
      <c r="R88" s="4"/>
      <c r="S88" s="53">
        <v>1</v>
      </c>
      <c r="T88" s="48">
        <v>28</v>
      </c>
      <c r="U88" s="4">
        <v>48</v>
      </c>
      <c r="V88" s="4">
        <f>T88*S88</f>
        <v>28</v>
      </c>
      <c r="W88" s="4">
        <f>U88*S88</f>
        <v>48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59" t="s">
        <v>813</v>
      </c>
      <c r="R89" s="4"/>
      <c r="S89" s="53">
        <v>1</v>
      </c>
      <c r="T89" s="48">
        <v>28</v>
      </c>
      <c r="U89" s="4">
        <v>48</v>
      </c>
      <c r="V89" s="4">
        <f>T89*S89</f>
        <v>28</v>
      </c>
      <c r="W89" s="4">
        <f>U89*S89</f>
        <v>48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53">
        <v>1</v>
      </c>
      <c r="T90" s="48">
        <v>28</v>
      </c>
      <c r="U90" s="4">
        <v>48</v>
      </c>
      <c r="V90" s="4">
        <f>T90*S90</f>
        <v>28</v>
      </c>
      <c r="W90" s="4">
        <f>U90*S90</f>
        <v>48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53">
        <v>0.5</v>
      </c>
      <c r="T91" s="48">
        <v>28</v>
      </c>
      <c r="U91" s="4">
        <v>48</v>
      </c>
      <c r="V91" s="4">
        <f>T91*S91</f>
        <v>14</v>
      </c>
      <c r="W91" s="4">
        <f>U91*S91</f>
        <v>24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60" t="s">
        <v>814</v>
      </c>
      <c r="R92" s="9"/>
      <c r="S92" s="55">
        <v>0.5</v>
      </c>
      <c r="T92" s="49">
        <v>28</v>
      </c>
      <c r="U92" s="9">
        <v>48</v>
      </c>
      <c r="V92" s="4">
        <f>T92*S92</f>
        <v>14</v>
      </c>
      <c r="W92" s="4">
        <f>U92*S92</f>
        <v>24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56">
        <v>0.70833333333333337</v>
      </c>
      <c r="J93" s="9">
        <v>60</v>
      </c>
      <c r="K93" s="44"/>
      <c r="L93" s="46">
        <v>0.66666666666666663</v>
      </c>
      <c r="M93" s="5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57">
        <v>7</v>
      </c>
      <c r="T93" s="49">
        <v>28</v>
      </c>
      <c r="U93" s="9">
        <v>48</v>
      </c>
      <c r="V93" s="4">
        <f>T93*S93</f>
        <v>196</v>
      </c>
      <c r="W93" s="4">
        <f>U93*S93</f>
        <v>336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52">
        <v>0.36458333333333331</v>
      </c>
      <c r="I94" s="43">
        <v>0.375</v>
      </c>
      <c r="J94" s="4">
        <v>15</v>
      </c>
      <c r="K94" s="43"/>
      <c r="L94" s="52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53">
        <v>0.25</v>
      </c>
      <c r="T94" s="48">
        <v>28</v>
      </c>
      <c r="U94" s="4">
        <v>48</v>
      </c>
      <c r="V94" s="4">
        <f>T94*S94</f>
        <v>7</v>
      </c>
      <c r="W94" s="4">
        <f>U94*S94</f>
        <v>12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56">
        <v>0.41666666666666669</v>
      </c>
      <c r="J95" s="4">
        <v>60</v>
      </c>
      <c r="K95" s="43"/>
      <c r="L95" s="43">
        <v>0.375</v>
      </c>
      <c r="M95" s="56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50">
        <v>1.25</v>
      </c>
      <c r="T95" s="48">
        <v>28</v>
      </c>
      <c r="U95" s="4">
        <v>48</v>
      </c>
      <c r="V95" s="4">
        <f>T95*S95</f>
        <v>35</v>
      </c>
      <c r="W95" s="4">
        <f>U95*S95</f>
        <v>60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52">
        <v>0.38541666666666669</v>
      </c>
      <c r="I96" s="56">
        <v>0.41666666666666669</v>
      </c>
      <c r="J96" s="4">
        <v>45</v>
      </c>
      <c r="K96" s="43"/>
      <c r="L96" s="52">
        <v>0.38541666666666669</v>
      </c>
      <c r="M96" s="56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50">
        <v>1</v>
      </c>
      <c r="T96" s="48">
        <v>28</v>
      </c>
      <c r="U96" s="4">
        <v>48</v>
      </c>
      <c r="V96" s="4">
        <f>T96*S96</f>
        <v>28</v>
      </c>
      <c r="W96" s="4">
        <f>U96*S96</f>
        <v>48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52">
        <v>0.48958333333333331</v>
      </c>
      <c r="I97" s="46">
        <v>0.52083333333333337</v>
      </c>
      <c r="J97" s="9">
        <v>45</v>
      </c>
      <c r="K97" s="44"/>
      <c r="L97" s="52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55">
        <v>0.75</v>
      </c>
      <c r="T97" s="49">
        <v>28</v>
      </c>
      <c r="U97" s="9">
        <v>48</v>
      </c>
      <c r="V97" s="4">
        <f>T97*S97</f>
        <v>21</v>
      </c>
      <c r="W97" s="4">
        <f>U97*S97</f>
        <v>36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60" t="s">
        <v>813</v>
      </c>
      <c r="R98" s="9"/>
      <c r="S98" s="55">
        <v>1.5</v>
      </c>
      <c r="T98" s="49">
        <v>28</v>
      </c>
      <c r="U98" s="9">
        <v>48</v>
      </c>
      <c r="V98" s="4">
        <f>T98*S98</f>
        <v>42</v>
      </c>
      <c r="W98" s="4">
        <f>U98*S98</f>
        <v>72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55">
        <v>1</v>
      </c>
      <c r="T99" s="49">
        <v>28</v>
      </c>
      <c r="U99" s="9">
        <v>48</v>
      </c>
      <c r="V99" s="4">
        <f>T99*S99</f>
        <v>28</v>
      </c>
      <c r="W99" s="4">
        <f>U99*S99</f>
        <v>48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53">
        <v>1</v>
      </c>
      <c r="T100" s="48">
        <v>28</v>
      </c>
      <c r="U100" s="4">
        <v>48</v>
      </c>
      <c r="V100" s="4">
        <f>T100*S100</f>
        <v>28</v>
      </c>
      <c r="W100" s="4">
        <f>U100*S100</f>
        <v>48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56">
        <v>0.65625</v>
      </c>
      <c r="J101" s="4">
        <v>45</v>
      </c>
      <c r="K101" s="43"/>
      <c r="L101" s="43">
        <v>0.625</v>
      </c>
      <c r="M101" s="56">
        <v>0.65625</v>
      </c>
      <c r="N101" s="4">
        <v>45</v>
      </c>
      <c r="O101" s="4" t="s">
        <v>331</v>
      </c>
      <c r="P101" s="4" t="s">
        <v>718</v>
      </c>
      <c r="Q101" s="59" t="s">
        <v>814</v>
      </c>
      <c r="R101" s="4"/>
      <c r="S101" s="50">
        <v>4.25</v>
      </c>
      <c r="T101" s="48">
        <v>28</v>
      </c>
      <c r="U101" s="4">
        <v>48</v>
      </c>
      <c r="V101" s="4">
        <f>T101*S101</f>
        <v>119</v>
      </c>
      <c r="W101" s="4">
        <f>U101*S101</f>
        <v>204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52">
        <v>0.58680555555555558</v>
      </c>
      <c r="I102" s="56">
        <v>0.60763888888888884</v>
      </c>
      <c r="J102" s="4">
        <v>30</v>
      </c>
      <c r="K102" s="43"/>
      <c r="L102" s="52">
        <v>0.58680555555555558</v>
      </c>
      <c r="M102" s="56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50">
        <v>1</v>
      </c>
      <c r="T102" s="48">
        <v>28</v>
      </c>
      <c r="U102" s="4">
        <v>48</v>
      </c>
      <c r="V102" s="4">
        <f>T102*S102</f>
        <v>28</v>
      </c>
      <c r="W102" s="4">
        <f>U102*S102</f>
        <v>48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52">
        <v>0.35416666666666669</v>
      </c>
      <c r="I103" s="43">
        <v>0.375</v>
      </c>
      <c r="J103" s="4">
        <v>30</v>
      </c>
      <c r="K103" s="43"/>
      <c r="L103" s="52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53">
        <v>0.5</v>
      </c>
      <c r="T103" s="48">
        <v>28</v>
      </c>
      <c r="U103" s="4">
        <v>48</v>
      </c>
      <c r="V103" s="4">
        <f>T103*S103</f>
        <v>14</v>
      </c>
      <c r="W103" s="4">
        <f>U103*S103</f>
        <v>24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56">
        <v>0.39583333333333331</v>
      </c>
      <c r="J104" s="4">
        <v>15</v>
      </c>
      <c r="K104" s="43"/>
      <c r="L104" s="43">
        <v>0.38541666666666669</v>
      </c>
      <c r="M104" s="56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50">
        <v>1</v>
      </c>
      <c r="T104" s="48">
        <v>28</v>
      </c>
      <c r="U104" s="4">
        <v>48</v>
      </c>
      <c r="V104" s="4">
        <f>T104*S104</f>
        <v>28</v>
      </c>
      <c r="W104" s="4">
        <f>U104*S104</f>
        <v>48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52">
        <v>0.54166666666666663</v>
      </c>
      <c r="I105" s="43">
        <v>0.58333333333333337</v>
      </c>
      <c r="J105" s="4">
        <v>60</v>
      </c>
      <c r="K105" s="43"/>
      <c r="L105" s="52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53">
        <v>1</v>
      </c>
      <c r="T105" s="48">
        <v>28</v>
      </c>
      <c r="U105" s="4">
        <v>48</v>
      </c>
      <c r="V105" s="4">
        <f>T105*S105</f>
        <v>28</v>
      </c>
      <c r="W105" s="4">
        <f>U105*S105</f>
        <v>48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56">
        <v>0.59375</v>
      </c>
      <c r="J106" s="4">
        <v>15</v>
      </c>
      <c r="K106" s="43"/>
      <c r="L106" s="43">
        <v>0.58333333333333337</v>
      </c>
      <c r="M106" s="56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50">
        <v>1.25</v>
      </c>
      <c r="T106" s="48">
        <v>28</v>
      </c>
      <c r="U106" s="4">
        <v>48</v>
      </c>
      <c r="V106" s="4">
        <f>T106*S106</f>
        <v>35</v>
      </c>
      <c r="W106" s="4">
        <f>U106*S106</f>
        <v>60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52">
        <v>0.66666666666666663</v>
      </c>
      <c r="I107" s="56">
        <v>0.71527777777777779</v>
      </c>
      <c r="J107" s="4">
        <v>70</v>
      </c>
      <c r="K107" s="43"/>
      <c r="L107" s="52">
        <v>0.66666666666666663</v>
      </c>
      <c r="M107" s="56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50">
        <v>1.25</v>
      </c>
      <c r="T107" s="48">
        <v>30</v>
      </c>
      <c r="U107" s="4">
        <v>48</v>
      </c>
      <c r="V107" s="4">
        <f>T107*S107</f>
        <v>37.5</v>
      </c>
      <c r="W107" s="4">
        <f>U107*S107</f>
        <v>60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52">
        <v>0.27083333333333331</v>
      </c>
      <c r="I108" s="56">
        <v>0.39583333333333331</v>
      </c>
      <c r="J108" s="4">
        <v>240</v>
      </c>
      <c r="K108" s="43"/>
      <c r="L108" s="52">
        <v>0.27083333333333331</v>
      </c>
      <c r="M108" s="56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50">
        <v>3</v>
      </c>
      <c r="T108" s="48">
        <v>30</v>
      </c>
      <c r="U108" s="4">
        <v>48</v>
      </c>
      <c r="V108" s="4">
        <f>T108*S108</f>
        <v>90</v>
      </c>
      <c r="W108" s="4">
        <f>U108*S108</f>
        <v>144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52">
        <v>0.52083333333333337</v>
      </c>
      <c r="I109" s="43">
        <v>0.54166666666666663</v>
      </c>
      <c r="J109" s="4">
        <v>30</v>
      </c>
      <c r="K109" s="43"/>
      <c r="L109" s="52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53">
        <v>0.5</v>
      </c>
      <c r="T109" s="48">
        <v>30</v>
      </c>
      <c r="U109" s="4">
        <v>48</v>
      </c>
      <c r="V109" s="4">
        <f>T109*S109</f>
        <v>15</v>
      </c>
      <c r="W109" s="4">
        <f>U109*S109</f>
        <v>24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53">
        <v>1</v>
      </c>
      <c r="T110" s="48">
        <v>30</v>
      </c>
      <c r="U110" s="4">
        <v>48</v>
      </c>
      <c r="V110" s="4">
        <f>T110*S110</f>
        <v>30</v>
      </c>
      <c r="W110" s="4">
        <f>U110*S110</f>
        <v>48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59" t="s">
        <v>814</v>
      </c>
      <c r="R111" s="4"/>
      <c r="S111" s="53">
        <v>0</v>
      </c>
      <c r="T111" s="48">
        <v>30</v>
      </c>
      <c r="U111" s="4">
        <v>48</v>
      </c>
      <c r="V111" s="4">
        <f>T111*S111</f>
        <v>0</v>
      </c>
      <c r="W111" s="4">
        <f>U111*S111</f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56">
        <v>0.60416666666666674</v>
      </c>
      <c r="J112" s="4">
        <v>30</v>
      </c>
      <c r="K112" s="43"/>
      <c r="L112" s="43">
        <v>0.58333333333333337</v>
      </c>
      <c r="M112" s="56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50">
        <v>2</v>
      </c>
      <c r="T112" s="48">
        <v>30</v>
      </c>
      <c r="U112" s="4">
        <v>48</v>
      </c>
      <c r="V112" s="4">
        <f>T112*S112</f>
        <v>60</v>
      </c>
      <c r="W112" s="4">
        <f>U112*S112</f>
        <v>96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52">
        <v>0.625</v>
      </c>
      <c r="I113" s="56">
        <v>0.64583333333333337</v>
      </c>
      <c r="J113" s="4">
        <v>30</v>
      </c>
      <c r="K113" s="43"/>
      <c r="L113" s="52">
        <v>0.625</v>
      </c>
      <c r="M113" s="56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50">
        <v>1</v>
      </c>
      <c r="T113" s="48">
        <v>30</v>
      </c>
      <c r="U113" s="4">
        <v>48</v>
      </c>
      <c r="V113" s="4">
        <f>T113*S113</f>
        <v>30</v>
      </c>
      <c r="W113" s="4">
        <f>U113*S113</f>
        <v>48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52">
        <v>0.61111111111111105</v>
      </c>
      <c r="I114" s="43">
        <v>0.64583333333333326</v>
      </c>
      <c r="J114" s="4">
        <v>50</v>
      </c>
      <c r="K114" s="43"/>
      <c r="L114" s="52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53">
        <v>1</v>
      </c>
      <c r="T114" s="48">
        <v>33</v>
      </c>
      <c r="U114" s="4">
        <v>48</v>
      </c>
      <c r="V114" s="4">
        <f>T114*S114</f>
        <v>33</v>
      </c>
      <c r="W114" s="4">
        <f>U114*S114</f>
        <v>48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56">
        <v>0.6875</v>
      </c>
      <c r="J115" s="4">
        <v>60</v>
      </c>
      <c r="K115" s="43"/>
      <c r="L115" s="45">
        <v>0.64583333333333337</v>
      </c>
      <c r="M115" s="56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50">
        <v>2</v>
      </c>
      <c r="T115" s="48">
        <v>33</v>
      </c>
      <c r="U115" s="4">
        <v>48</v>
      </c>
      <c r="V115" s="4">
        <f>T115*S115</f>
        <v>66</v>
      </c>
      <c r="W115" s="4">
        <f>U115*S115</f>
        <v>96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52">
        <v>0.5625</v>
      </c>
      <c r="I116" s="43">
        <v>0.60416666666666663</v>
      </c>
      <c r="J116" s="4">
        <v>60</v>
      </c>
      <c r="K116" s="43"/>
      <c r="L116" s="52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53">
        <v>1</v>
      </c>
      <c r="T116" s="48">
        <v>33</v>
      </c>
      <c r="U116" s="4">
        <v>48</v>
      </c>
      <c r="V116" s="4">
        <f>T116*S116</f>
        <v>33</v>
      </c>
      <c r="W116" s="4">
        <f>U116*S116</f>
        <v>48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56">
        <v>0.70833333333333326</v>
      </c>
      <c r="J117" s="4">
        <v>150</v>
      </c>
      <c r="K117" s="43"/>
      <c r="L117" s="43">
        <v>0.60416666666666663</v>
      </c>
      <c r="M117" s="56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50">
        <v>3.5</v>
      </c>
      <c r="T117" s="48">
        <v>33</v>
      </c>
      <c r="U117" s="4">
        <v>48</v>
      </c>
      <c r="V117" s="4">
        <f>T117*S117</f>
        <v>115.5</v>
      </c>
      <c r="W117" s="4">
        <f>U117*S117</f>
        <v>168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52">
        <v>0.41666666666666669</v>
      </c>
      <c r="I118" s="56">
        <v>0.44444444444444448</v>
      </c>
      <c r="J118" s="4">
        <v>40</v>
      </c>
      <c r="K118" s="43"/>
      <c r="L118" s="52">
        <v>0.41666666666666669</v>
      </c>
      <c r="M118" s="56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50">
        <v>1</v>
      </c>
      <c r="T118" s="48">
        <v>33</v>
      </c>
      <c r="U118" s="4">
        <v>48</v>
      </c>
      <c r="V118" s="4">
        <f>T118*S118</f>
        <v>33</v>
      </c>
      <c r="W118" s="4">
        <f>U118*S118</f>
        <v>48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52">
        <v>0.43055555555555558</v>
      </c>
      <c r="I119" s="56">
        <v>0.45833333333333337</v>
      </c>
      <c r="J119" s="4">
        <v>40</v>
      </c>
      <c r="K119" s="43"/>
      <c r="L119" s="52">
        <v>0.43055555555555558</v>
      </c>
      <c r="M119" s="56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50">
        <v>1</v>
      </c>
      <c r="T119" s="48">
        <v>33</v>
      </c>
      <c r="U119" s="4">
        <v>48</v>
      </c>
      <c r="V119" s="4">
        <f>T119*S119</f>
        <v>33</v>
      </c>
      <c r="W119" s="4">
        <f>U119*S119</f>
        <v>48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52">
        <v>0.66666666666666663</v>
      </c>
      <c r="I120" s="43">
        <v>0.6875</v>
      </c>
      <c r="J120" s="4">
        <v>30</v>
      </c>
      <c r="K120" s="43"/>
      <c r="L120" s="52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53">
        <v>0.5</v>
      </c>
      <c r="T120" s="48">
        <v>32</v>
      </c>
      <c r="U120" s="4">
        <v>48</v>
      </c>
      <c r="V120" s="4">
        <f>T120*S120</f>
        <v>16</v>
      </c>
      <c r="W120" s="4">
        <f>U120*S120</f>
        <v>24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56">
        <v>0.70833333333333337</v>
      </c>
      <c r="J121" s="4">
        <v>30</v>
      </c>
      <c r="K121" s="43"/>
      <c r="L121" s="45">
        <v>0.6875</v>
      </c>
      <c r="M121" s="56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50">
        <v>1</v>
      </c>
      <c r="T121" s="48">
        <v>32</v>
      </c>
      <c r="U121" s="4">
        <v>48</v>
      </c>
      <c r="V121" s="4">
        <f>T121*S121</f>
        <v>32</v>
      </c>
      <c r="W121" s="4">
        <f>U121*S121</f>
        <v>48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52">
        <v>0.61458333333333337</v>
      </c>
      <c r="I122" s="43">
        <v>0.65625</v>
      </c>
      <c r="J122" s="4">
        <v>60</v>
      </c>
      <c r="K122" s="43"/>
      <c r="L122" s="52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53">
        <v>1</v>
      </c>
      <c r="T122" s="48">
        <v>40</v>
      </c>
      <c r="U122" s="4">
        <v>48</v>
      </c>
      <c r="V122" s="4">
        <f>T122*S122</f>
        <v>40</v>
      </c>
      <c r="W122" s="4">
        <f>U122*S122</f>
        <v>48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56">
        <v>0.67708333333333337</v>
      </c>
      <c r="J123" s="4">
        <v>30</v>
      </c>
      <c r="K123" s="43"/>
      <c r="L123" s="45">
        <v>0.65625</v>
      </c>
      <c r="M123" s="56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50">
        <v>1.5</v>
      </c>
      <c r="T123" s="48">
        <v>40</v>
      </c>
      <c r="U123" s="4">
        <v>48</v>
      </c>
      <c r="V123" s="4">
        <f>T123*S123</f>
        <v>60</v>
      </c>
      <c r="W123" s="4">
        <f>U123*S123</f>
        <v>72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52">
        <v>0.41666666666666669</v>
      </c>
      <c r="I124" s="43">
        <v>0.47916666666666669</v>
      </c>
      <c r="J124" s="4">
        <v>90</v>
      </c>
      <c r="K124" s="43"/>
      <c r="L124" s="52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53">
        <v>1.5</v>
      </c>
      <c r="T124" s="48">
        <v>37</v>
      </c>
      <c r="U124" s="4">
        <v>48</v>
      </c>
      <c r="V124" s="4">
        <f>T124*S124</f>
        <v>55.5</v>
      </c>
      <c r="W124" s="4">
        <f>U124*S124</f>
        <v>72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53">
        <v>1.5</v>
      </c>
      <c r="T125" s="48">
        <v>37</v>
      </c>
      <c r="U125" s="4">
        <v>48</v>
      </c>
      <c r="V125" s="4">
        <f>T125*S125</f>
        <v>55.5</v>
      </c>
      <c r="W125" s="4">
        <f>U125*S125</f>
        <v>72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56">
        <v>0.5625</v>
      </c>
      <c r="J126" s="4">
        <v>15</v>
      </c>
      <c r="K126" s="43"/>
      <c r="L126" s="45">
        <v>0.55208333333333337</v>
      </c>
      <c r="M126" s="56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50">
        <v>3.5</v>
      </c>
      <c r="T126" s="48">
        <v>37</v>
      </c>
      <c r="U126" s="4">
        <v>48</v>
      </c>
      <c r="V126" s="4">
        <f>T126*S126</f>
        <v>129.5</v>
      </c>
      <c r="W126" s="4">
        <f>U126*S126</f>
        <v>168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52">
        <v>0.58333333333333337</v>
      </c>
      <c r="I127" s="43">
        <v>0.625</v>
      </c>
      <c r="J127" s="4">
        <v>60</v>
      </c>
      <c r="K127" s="43"/>
      <c r="L127" s="52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53">
        <v>1</v>
      </c>
      <c r="T127" s="48">
        <v>37</v>
      </c>
      <c r="U127" s="4">
        <v>48</v>
      </c>
      <c r="V127" s="4">
        <f>T127*S127</f>
        <v>37</v>
      </c>
      <c r="W127" s="4">
        <f>U127*S127</f>
        <v>48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56">
        <v>0.65625</v>
      </c>
      <c r="J128" s="4">
        <v>45</v>
      </c>
      <c r="K128" s="43"/>
      <c r="L128" s="45">
        <v>0.625</v>
      </c>
      <c r="M128" s="56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50">
        <v>1.75</v>
      </c>
      <c r="T128" s="48">
        <v>37</v>
      </c>
      <c r="U128" s="4">
        <v>48</v>
      </c>
      <c r="V128" s="4">
        <f>T128*S128</f>
        <v>64.75</v>
      </c>
      <c r="W128" s="4">
        <f>U128*S128</f>
        <v>84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52">
        <v>0.625</v>
      </c>
      <c r="I129" s="43">
        <v>0.64583333333333337</v>
      </c>
      <c r="J129" s="4">
        <v>30</v>
      </c>
      <c r="K129" s="43"/>
      <c r="L129" s="52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53">
        <v>0.5</v>
      </c>
      <c r="T129" s="48">
        <v>37</v>
      </c>
      <c r="U129" s="4">
        <v>48</v>
      </c>
      <c r="V129" s="4">
        <f>T129*S129</f>
        <v>18.5</v>
      </c>
      <c r="W129" s="4">
        <f>U129*S129</f>
        <v>24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56">
        <v>0.66666666666666663</v>
      </c>
      <c r="J130" s="4">
        <v>30</v>
      </c>
      <c r="K130" s="43"/>
      <c r="L130" s="43">
        <v>0.64583333333333337</v>
      </c>
      <c r="M130" s="56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50">
        <v>1</v>
      </c>
      <c r="T130" s="48">
        <v>37</v>
      </c>
      <c r="U130" s="4">
        <v>48</v>
      </c>
      <c r="V130" s="4">
        <f>T130*S130</f>
        <v>37</v>
      </c>
      <c r="W130" s="4">
        <f>U130*S130</f>
        <v>48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52">
        <v>0.54166666666666663</v>
      </c>
      <c r="I131" s="43">
        <v>0.5625</v>
      </c>
      <c r="J131" s="4">
        <v>30</v>
      </c>
      <c r="K131" s="43"/>
      <c r="L131" s="52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53">
        <v>0.5</v>
      </c>
      <c r="T131" s="48">
        <v>35</v>
      </c>
      <c r="U131" s="4">
        <v>48</v>
      </c>
      <c r="V131" s="4">
        <f>T131*S131</f>
        <v>17.5</v>
      </c>
      <c r="W131" s="4">
        <f>U131*S131</f>
        <v>24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59" t="s">
        <v>813</v>
      </c>
      <c r="R132" s="4"/>
      <c r="S132" s="53">
        <v>2</v>
      </c>
      <c r="T132" s="48">
        <v>35</v>
      </c>
      <c r="U132" s="4">
        <v>48</v>
      </c>
      <c r="V132" s="4">
        <f>T132*S132</f>
        <v>70</v>
      </c>
      <c r="W132" s="4">
        <f>U132*S132</f>
        <v>96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59" t="s">
        <v>814</v>
      </c>
      <c r="R133" s="4"/>
      <c r="S133" s="53">
        <v>0</v>
      </c>
      <c r="T133" s="48">
        <v>35</v>
      </c>
      <c r="U133" s="4">
        <v>48</v>
      </c>
      <c r="V133" s="4">
        <f>T133*S133</f>
        <v>0</v>
      </c>
      <c r="W133" s="4">
        <f>U133*S133</f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53">
        <v>0.5</v>
      </c>
      <c r="T134" s="48">
        <v>35</v>
      </c>
      <c r="U134" s="4">
        <v>48</v>
      </c>
      <c r="V134" s="4">
        <f>T134*S134</f>
        <v>17.5</v>
      </c>
      <c r="W134" s="4">
        <f>U134*S134</f>
        <v>24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59" t="s">
        <v>814</v>
      </c>
      <c r="R135" s="4"/>
      <c r="S135" s="53">
        <v>1.5</v>
      </c>
      <c r="T135" s="48">
        <v>35</v>
      </c>
      <c r="U135" s="4">
        <v>48</v>
      </c>
      <c r="V135" s="4">
        <f>T135*S135</f>
        <v>52.5</v>
      </c>
      <c r="W135" s="4">
        <f>U135*S135</f>
        <v>72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59" t="s">
        <v>814</v>
      </c>
      <c r="R136" s="4"/>
      <c r="S136" s="53">
        <v>0.5</v>
      </c>
      <c r="T136" s="48">
        <v>35</v>
      </c>
      <c r="U136" s="4">
        <v>48</v>
      </c>
      <c r="V136" s="4">
        <f>T136*S136</f>
        <v>17.5</v>
      </c>
      <c r="W136" s="4">
        <f>U136*S136</f>
        <v>24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56">
        <v>0.83333333333333337</v>
      </c>
      <c r="J137" s="4">
        <v>120</v>
      </c>
      <c r="K137" s="43"/>
      <c r="L137" s="45">
        <v>0.75</v>
      </c>
      <c r="M137" s="56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50">
        <v>7</v>
      </c>
      <c r="T137" s="48">
        <v>35</v>
      </c>
      <c r="U137" s="4">
        <v>48</v>
      </c>
      <c r="V137" s="4">
        <f>T137*S137</f>
        <v>245</v>
      </c>
      <c r="W137" s="4">
        <f>U137*S137</f>
        <v>336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52">
        <v>0.4236111111111111</v>
      </c>
      <c r="I138" s="43">
        <v>0.46527777777777779</v>
      </c>
      <c r="J138" s="4">
        <v>60</v>
      </c>
      <c r="K138" s="43"/>
      <c r="L138" s="52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53">
        <v>1</v>
      </c>
      <c r="T138" s="48">
        <v>27</v>
      </c>
      <c r="U138" s="4">
        <v>48</v>
      </c>
      <c r="V138" s="4">
        <f>T138*S138</f>
        <v>27</v>
      </c>
      <c r="W138" s="4">
        <f>U138*S138</f>
        <v>48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56">
        <v>0.54166666666666663</v>
      </c>
      <c r="J139" s="4">
        <v>60</v>
      </c>
      <c r="K139" s="43"/>
      <c r="L139" s="45">
        <v>0.5</v>
      </c>
      <c r="M139" s="56">
        <v>0.54166666666666663</v>
      </c>
      <c r="N139" s="4">
        <v>60</v>
      </c>
      <c r="O139" s="14" t="s">
        <v>93</v>
      </c>
      <c r="P139" s="4" t="s">
        <v>303</v>
      </c>
      <c r="Q139" s="59" t="s">
        <v>813</v>
      </c>
      <c r="R139" s="4"/>
      <c r="S139" s="50">
        <v>3</v>
      </c>
      <c r="T139" s="48">
        <v>27</v>
      </c>
      <c r="U139" s="4">
        <v>48</v>
      </c>
      <c r="V139" s="4">
        <f>T139*S139</f>
        <v>81</v>
      </c>
      <c r="W139" s="4">
        <f>U139*S139</f>
        <v>144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52">
        <v>0.42708333333333331</v>
      </c>
      <c r="I140" s="43">
        <v>0.4375</v>
      </c>
      <c r="J140" s="4">
        <v>15</v>
      </c>
      <c r="K140" s="43"/>
      <c r="L140" s="52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53">
        <v>0.25</v>
      </c>
      <c r="T140" s="48">
        <v>27</v>
      </c>
      <c r="U140" s="4">
        <v>48</v>
      </c>
      <c r="V140" s="4">
        <f>T140*S140</f>
        <v>6.75</v>
      </c>
      <c r="W140" s="4">
        <f>U140*S140</f>
        <v>12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53">
        <v>0.25</v>
      </c>
      <c r="T141" s="48">
        <v>27</v>
      </c>
      <c r="U141" s="4">
        <v>48</v>
      </c>
      <c r="V141" s="4">
        <f>T141*S141</f>
        <v>6.75</v>
      </c>
      <c r="W141" s="4">
        <f>U141*S141</f>
        <v>12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56">
        <v>0.5</v>
      </c>
      <c r="J142" s="4">
        <v>60</v>
      </c>
      <c r="K142" s="43"/>
      <c r="L142" s="43">
        <v>0.45833333333333331</v>
      </c>
      <c r="M142" s="56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50">
        <v>1.75</v>
      </c>
      <c r="T142" s="48">
        <v>27</v>
      </c>
      <c r="U142" s="4">
        <v>48</v>
      </c>
      <c r="V142" s="4">
        <f>T142*S142</f>
        <v>47.25</v>
      </c>
      <c r="W142" s="4">
        <f>U142*S142</f>
        <v>84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52">
        <v>0.47916666666666669</v>
      </c>
      <c r="I143" s="56">
        <v>0.5</v>
      </c>
      <c r="J143" s="4">
        <v>30</v>
      </c>
      <c r="K143" s="43"/>
      <c r="L143" s="52">
        <v>0.47916666666666669</v>
      </c>
      <c r="M143" s="56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50">
        <v>1</v>
      </c>
      <c r="T143" s="48">
        <v>25</v>
      </c>
      <c r="U143" s="4">
        <v>48</v>
      </c>
      <c r="V143" s="4">
        <f>T143*S143</f>
        <v>25</v>
      </c>
      <c r="W143" s="4">
        <f>U143*S143</f>
        <v>48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52">
        <v>0.4201388888888889</v>
      </c>
      <c r="I144" s="56">
        <v>0.4375</v>
      </c>
      <c r="J144" s="4">
        <v>25</v>
      </c>
      <c r="K144" s="43"/>
      <c r="L144" s="52">
        <v>0.4201388888888889</v>
      </c>
      <c r="M144" s="56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50">
        <v>1</v>
      </c>
      <c r="T144" s="4"/>
      <c r="U144" s="4">
        <v>48</v>
      </c>
      <c r="V144" s="4">
        <f>T144*S144</f>
        <v>0</v>
      </c>
      <c r="W144" s="4">
        <f>U144*S144</f>
        <v>48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52">
        <v>0.39583333333333331</v>
      </c>
      <c r="I145" s="43">
        <v>0.41666666666666663</v>
      </c>
      <c r="J145" s="4">
        <v>30</v>
      </c>
      <c r="K145" s="43"/>
      <c r="L145" s="52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53">
        <v>0.5</v>
      </c>
      <c r="T145" s="48">
        <v>25</v>
      </c>
      <c r="U145" s="4">
        <v>48</v>
      </c>
      <c r="V145" s="4">
        <f>T145*S145</f>
        <v>12.5</v>
      </c>
      <c r="W145" s="4">
        <f>U145*S145</f>
        <v>24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59" t="s">
        <v>813</v>
      </c>
      <c r="R146" s="4"/>
      <c r="S146" s="53">
        <v>1</v>
      </c>
      <c r="T146" s="48">
        <v>25</v>
      </c>
      <c r="U146" s="4">
        <v>48</v>
      </c>
      <c r="V146" s="4">
        <f>T146*S146</f>
        <v>25</v>
      </c>
      <c r="W146" s="4">
        <f>U146*S146</f>
        <v>48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56">
        <v>0.58333333333333337</v>
      </c>
      <c r="J147" s="4">
        <v>120</v>
      </c>
      <c r="K147" s="43"/>
      <c r="L147" s="45">
        <v>0.5</v>
      </c>
      <c r="M147" s="56">
        <v>0.58333333333333337</v>
      </c>
      <c r="N147" s="4">
        <v>120</v>
      </c>
      <c r="O147" s="6" t="s">
        <v>26</v>
      </c>
      <c r="P147" s="4" t="s">
        <v>175</v>
      </c>
      <c r="Q147" s="59" t="s">
        <v>813</v>
      </c>
      <c r="R147" s="4"/>
      <c r="S147" s="50">
        <v>4.5</v>
      </c>
      <c r="T147" s="48">
        <v>25</v>
      </c>
      <c r="U147" s="4">
        <v>48</v>
      </c>
      <c r="V147" s="4">
        <f>T147*S147</f>
        <v>112.5</v>
      </c>
      <c r="W147" s="4">
        <f>U147*S147</f>
        <v>216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52">
        <v>0.54166666666666663</v>
      </c>
      <c r="I148" s="44">
        <v>0.55208333333333337</v>
      </c>
      <c r="J148" s="9">
        <v>15</v>
      </c>
      <c r="K148" s="44"/>
      <c r="L148" s="52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55">
        <v>0.25</v>
      </c>
      <c r="T148" s="49">
        <v>27</v>
      </c>
      <c r="U148" s="9">
        <v>48</v>
      </c>
      <c r="V148" s="4">
        <f>T148*S148</f>
        <v>6.75</v>
      </c>
      <c r="W148" s="4">
        <f>U148*S148</f>
        <v>12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58">
        <v>0.60416666666666663</v>
      </c>
      <c r="J149" s="9">
        <v>60</v>
      </c>
      <c r="K149" s="44"/>
      <c r="L149" s="45">
        <v>0.5625</v>
      </c>
      <c r="M149" s="58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57">
        <v>1.5</v>
      </c>
      <c r="T149" s="49">
        <v>27</v>
      </c>
      <c r="U149" s="9">
        <v>48</v>
      </c>
      <c r="V149" s="4">
        <f>T149*S149</f>
        <v>40.5</v>
      </c>
      <c r="W149" s="4">
        <f>U149*S149</f>
        <v>72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52">
        <v>0.625</v>
      </c>
      <c r="I150" s="56">
        <v>0.66666666666666663</v>
      </c>
      <c r="J150" s="4">
        <v>60</v>
      </c>
      <c r="K150" s="43"/>
      <c r="L150" s="52">
        <v>0.625</v>
      </c>
      <c r="M150" s="56">
        <v>0.66666666666666663</v>
      </c>
      <c r="N150" s="4">
        <v>60</v>
      </c>
      <c r="O150" s="6" t="s">
        <v>693</v>
      </c>
      <c r="P150" s="4"/>
      <c r="Q150" s="4"/>
      <c r="R150" s="4"/>
      <c r="S150" s="50">
        <v>1</v>
      </c>
      <c r="T150" s="48">
        <v>27</v>
      </c>
      <c r="U150" s="4">
        <v>48</v>
      </c>
      <c r="V150" s="4">
        <f>T150*S150</f>
        <v>27</v>
      </c>
      <c r="W150" s="4">
        <f>U150*S150</f>
        <v>48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52">
        <v>0.58333333333333337</v>
      </c>
      <c r="I151" s="43">
        <v>0.60416666666666674</v>
      </c>
      <c r="J151" s="4">
        <v>30</v>
      </c>
      <c r="K151" s="43"/>
      <c r="L151" s="52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53">
        <v>0.5</v>
      </c>
      <c r="T151" s="48">
        <v>35</v>
      </c>
      <c r="U151" s="4">
        <v>48</v>
      </c>
      <c r="V151" s="4">
        <f>T151*S151</f>
        <v>17.5</v>
      </c>
      <c r="W151" s="4">
        <f>U151*S151</f>
        <v>24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59" t="s">
        <v>813</v>
      </c>
      <c r="R152" s="4"/>
      <c r="S152" s="53">
        <v>1.5</v>
      </c>
      <c r="T152" s="48">
        <v>35</v>
      </c>
      <c r="U152" s="4">
        <v>48</v>
      </c>
      <c r="V152" s="4">
        <f>T152*S152</f>
        <v>52.5</v>
      </c>
      <c r="W152" s="4">
        <f>U152*S152</f>
        <v>72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56">
        <v>0.64583333333333337</v>
      </c>
      <c r="J153" s="4">
        <v>30</v>
      </c>
      <c r="K153" s="43"/>
      <c r="L153" s="43">
        <v>0.625</v>
      </c>
      <c r="M153" s="56">
        <v>0.64583333333333337</v>
      </c>
      <c r="N153" s="4">
        <v>30</v>
      </c>
      <c r="O153" s="4" t="s">
        <v>53</v>
      </c>
      <c r="P153" s="4" t="s">
        <v>694</v>
      </c>
      <c r="Q153" s="59" t="s">
        <v>814</v>
      </c>
      <c r="R153" s="4"/>
      <c r="S153" s="50">
        <v>2</v>
      </c>
      <c r="T153" s="48">
        <v>35</v>
      </c>
      <c r="U153" s="4">
        <v>48</v>
      </c>
      <c r="V153" s="4">
        <f>T153*S153</f>
        <v>70</v>
      </c>
      <c r="W153" s="4">
        <f>U153*S153</f>
        <v>96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52">
        <v>0.45833333333333331</v>
      </c>
      <c r="I154" s="56">
        <v>0.47916666666666663</v>
      </c>
      <c r="J154" s="4">
        <v>30</v>
      </c>
      <c r="K154" s="43"/>
      <c r="L154" s="52">
        <v>0.45833333333333331</v>
      </c>
      <c r="M154" s="56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50">
        <v>1</v>
      </c>
      <c r="T154" s="4"/>
      <c r="U154" s="4">
        <v>48</v>
      </c>
      <c r="V154" s="4">
        <f>T154*S154</f>
        <v>0</v>
      </c>
      <c r="W154" s="4">
        <f>U154*S154</f>
        <v>48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52">
        <v>0.375</v>
      </c>
      <c r="I155" s="43">
        <v>0.38541666666666669</v>
      </c>
      <c r="J155" s="4">
        <v>15</v>
      </c>
      <c r="K155" s="43"/>
      <c r="L155" s="52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53">
        <v>0.25</v>
      </c>
      <c r="T155" s="4"/>
      <c r="U155" s="4">
        <v>48</v>
      </c>
      <c r="V155" s="4">
        <f>T155*S155</f>
        <v>0</v>
      </c>
      <c r="W155" s="4">
        <f>U155*S155</f>
        <v>12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53">
        <v>0.25</v>
      </c>
      <c r="T156" s="4"/>
      <c r="U156" s="4">
        <v>48</v>
      </c>
      <c r="V156" s="4">
        <f>T156*S156</f>
        <v>0</v>
      </c>
      <c r="W156" s="4">
        <f>U156*S156</f>
        <v>12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56">
        <v>0.45833333333333331</v>
      </c>
      <c r="J157" s="4">
        <v>90</v>
      </c>
      <c r="K157" s="43"/>
      <c r="L157" s="45">
        <v>0.39583333333333331</v>
      </c>
      <c r="M157" s="56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50">
        <v>2</v>
      </c>
      <c r="T157" s="4"/>
      <c r="U157" s="4">
        <v>48</v>
      </c>
      <c r="V157" s="4">
        <f>T157*S157</f>
        <v>0</v>
      </c>
      <c r="W157" s="4">
        <f>U157*S157</f>
        <v>96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52">
        <v>0.45833333333333331</v>
      </c>
      <c r="I158" s="46">
        <v>0.6875</v>
      </c>
      <c r="J158" s="21">
        <v>330</v>
      </c>
      <c r="K158" s="46"/>
      <c r="L158" s="52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53">
        <v>5.5</v>
      </c>
      <c r="T158" s="51">
        <v>30</v>
      </c>
      <c r="U158" s="21">
        <v>48</v>
      </c>
      <c r="V158" s="4">
        <f>T158*S158</f>
        <v>165</v>
      </c>
      <c r="W158" s="4">
        <f>U158*S158</f>
        <v>264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56">
        <v>0.69791666666666663</v>
      </c>
      <c r="J159" s="4">
        <v>15</v>
      </c>
      <c r="K159" s="43"/>
      <c r="L159" s="45">
        <v>0.6875</v>
      </c>
      <c r="M159" s="56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50">
        <v>5.75</v>
      </c>
      <c r="T159" s="48">
        <v>30</v>
      </c>
      <c r="U159" s="4">
        <v>48</v>
      </c>
      <c r="V159" s="4">
        <f>T159*S159</f>
        <v>172.5</v>
      </c>
      <c r="W159" s="4">
        <f>U159*S159</f>
        <v>276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52">
        <v>0.39583333333333331</v>
      </c>
      <c r="I160" s="43">
        <v>0.40625</v>
      </c>
      <c r="J160" s="4">
        <v>15</v>
      </c>
      <c r="K160" s="43"/>
      <c r="L160" s="52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53">
        <v>0.25</v>
      </c>
      <c r="T160" s="48">
        <v>25</v>
      </c>
      <c r="U160" s="4">
        <v>48</v>
      </c>
      <c r="V160" s="4">
        <f>T160*S160</f>
        <v>6.25</v>
      </c>
      <c r="W160" s="4">
        <f>U160*S160</f>
        <v>12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59" t="s">
        <v>813</v>
      </c>
      <c r="R161" s="4"/>
      <c r="S161" s="53">
        <v>1.5</v>
      </c>
      <c r="T161" s="48">
        <v>25</v>
      </c>
      <c r="U161" s="4">
        <v>48</v>
      </c>
      <c r="V161" s="4">
        <f>T161*S161</f>
        <v>37.5</v>
      </c>
      <c r="W161" s="4">
        <f>U161*S161</f>
        <v>72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59" t="s">
        <v>813</v>
      </c>
      <c r="R162" s="4"/>
      <c r="S162" s="53">
        <v>3</v>
      </c>
      <c r="T162" s="48">
        <v>25</v>
      </c>
      <c r="U162" s="4">
        <v>48</v>
      </c>
      <c r="V162" s="4">
        <f>T162*S162</f>
        <v>75</v>
      </c>
      <c r="W162" s="4">
        <f>U162*S162</f>
        <v>144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59" t="s">
        <v>814</v>
      </c>
      <c r="R163" s="4"/>
      <c r="S163" s="53">
        <v>0</v>
      </c>
      <c r="T163" s="48">
        <v>25</v>
      </c>
      <c r="U163" s="4">
        <v>48</v>
      </c>
      <c r="V163" s="4">
        <f>T163*S163</f>
        <v>0</v>
      </c>
      <c r="W163" s="4">
        <f>U163*S163</f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56">
        <v>0.60416666666666674</v>
      </c>
      <c r="J164" s="4">
        <v>30</v>
      </c>
      <c r="K164" s="43"/>
      <c r="L164" s="43">
        <v>0.58333333333333337</v>
      </c>
      <c r="M164" s="56">
        <v>0.60416666666666674</v>
      </c>
      <c r="N164" s="4">
        <v>30</v>
      </c>
      <c r="O164" s="4" t="s">
        <v>110</v>
      </c>
      <c r="P164" s="4" t="s">
        <v>447</v>
      </c>
      <c r="Q164" s="59" t="s">
        <v>814</v>
      </c>
      <c r="R164" s="4"/>
      <c r="S164" s="50">
        <v>5.5</v>
      </c>
      <c r="T164" s="48">
        <v>25</v>
      </c>
      <c r="U164" s="4">
        <v>48</v>
      </c>
      <c r="V164" s="4">
        <f>T164*S164</f>
        <v>137.5</v>
      </c>
      <c r="W164" s="4">
        <f>U164*S164</f>
        <v>264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52">
        <v>0.35416666666666669</v>
      </c>
      <c r="I165" s="56">
        <v>0.45833333333333331</v>
      </c>
      <c r="J165" s="4">
        <v>150</v>
      </c>
      <c r="K165" s="43"/>
      <c r="L165" s="52">
        <v>0.35416666666666669</v>
      </c>
      <c r="M165" s="56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50">
        <v>2.5</v>
      </c>
      <c r="T165" s="48">
        <v>25</v>
      </c>
      <c r="U165" s="4">
        <v>48</v>
      </c>
      <c r="V165" s="4">
        <f>T165*S165</f>
        <v>62.5</v>
      </c>
      <c r="W165" s="4">
        <f>U165*S165</f>
        <v>120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52">
        <v>0.52777777777777779</v>
      </c>
      <c r="I166" s="56">
        <v>0.63194444444444442</v>
      </c>
      <c r="J166" s="4">
        <v>150</v>
      </c>
      <c r="K166" s="43"/>
      <c r="L166" s="52">
        <v>0.52777777777777779</v>
      </c>
      <c r="M166" s="56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50">
        <v>2.5</v>
      </c>
      <c r="T166" s="48">
        <v>25</v>
      </c>
      <c r="U166" s="4">
        <v>48</v>
      </c>
      <c r="V166" s="4">
        <f>T166*S166</f>
        <v>62.5</v>
      </c>
      <c r="W166" s="4">
        <f>U166*S166</f>
        <v>120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52">
        <v>0.625</v>
      </c>
      <c r="I167" s="43">
        <v>0.63541666666666663</v>
      </c>
      <c r="J167" s="4">
        <v>15</v>
      </c>
      <c r="K167" s="43"/>
      <c r="L167" s="52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53">
        <v>0.25</v>
      </c>
      <c r="T167" s="48">
        <v>27</v>
      </c>
      <c r="U167" s="4">
        <v>48</v>
      </c>
      <c r="V167" s="4">
        <f>T167*S167</f>
        <v>6.75</v>
      </c>
      <c r="W167" s="4">
        <f>U167*S167</f>
        <v>12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56">
        <v>0.77083333333333326</v>
      </c>
      <c r="J168" s="4">
        <v>150</v>
      </c>
      <c r="K168" s="43"/>
      <c r="L168" s="43">
        <v>0.66666666666666663</v>
      </c>
      <c r="M168" s="56">
        <v>0.77083333333333326</v>
      </c>
      <c r="N168" s="4">
        <v>150</v>
      </c>
      <c r="O168" s="4" t="s">
        <v>26</v>
      </c>
      <c r="P168" s="4" t="s">
        <v>464</v>
      </c>
      <c r="Q168" s="59" t="s">
        <v>813</v>
      </c>
      <c r="R168" s="4"/>
      <c r="S168" s="50">
        <v>3.5</v>
      </c>
      <c r="T168" s="48">
        <v>27</v>
      </c>
      <c r="U168" s="4">
        <v>48</v>
      </c>
      <c r="V168" s="4">
        <f>T168*S168</f>
        <v>94.5</v>
      </c>
      <c r="W168" s="4">
        <f>U168*S168</f>
        <v>168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52">
        <v>0.41666666666666669</v>
      </c>
      <c r="I169" s="56">
        <v>0.45833333333333337</v>
      </c>
      <c r="J169" s="4">
        <v>60</v>
      </c>
      <c r="K169" s="43"/>
      <c r="L169" s="52">
        <v>0.41666666666666669</v>
      </c>
      <c r="M169" s="56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50">
        <v>1</v>
      </c>
      <c r="T169" s="48">
        <v>27</v>
      </c>
      <c r="U169" s="4">
        <v>48</v>
      </c>
      <c r="V169" s="4">
        <f>T169*S169</f>
        <v>27</v>
      </c>
      <c r="W169" s="4">
        <f>U169*S169</f>
        <v>48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52">
        <v>0.64583333333333337</v>
      </c>
      <c r="I170" s="56">
        <v>0.66666666666666674</v>
      </c>
      <c r="J170" s="4">
        <v>30</v>
      </c>
      <c r="K170" s="43"/>
      <c r="L170" s="52">
        <v>0.64583333333333337</v>
      </c>
      <c r="M170" s="56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50">
        <v>1</v>
      </c>
      <c r="T170" s="48">
        <v>27</v>
      </c>
      <c r="U170" s="4">
        <v>48</v>
      </c>
      <c r="V170" s="4">
        <f>T170*S170</f>
        <v>27</v>
      </c>
      <c r="W170" s="4">
        <f>U170*S170</f>
        <v>48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52">
        <v>0.5</v>
      </c>
      <c r="I171" s="56">
        <v>0.6875</v>
      </c>
      <c r="J171" s="4">
        <v>270</v>
      </c>
      <c r="K171" s="43"/>
      <c r="L171" s="52">
        <v>0.5</v>
      </c>
      <c r="M171" s="56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50">
        <v>4.5</v>
      </c>
      <c r="T171" s="48">
        <v>27</v>
      </c>
      <c r="U171" s="4">
        <v>48</v>
      </c>
      <c r="V171" s="4">
        <f>T171*S171</f>
        <v>121.5</v>
      </c>
      <c r="W171" s="4">
        <f>U171*S171</f>
        <v>216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52">
        <v>0.375</v>
      </c>
      <c r="I172" s="43">
        <v>0.39583333333333331</v>
      </c>
      <c r="J172" s="4">
        <v>30</v>
      </c>
      <c r="K172" s="43"/>
      <c r="L172" s="52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53">
        <v>0.5</v>
      </c>
      <c r="T172" s="48">
        <v>27</v>
      </c>
      <c r="U172" s="4">
        <v>48</v>
      </c>
      <c r="V172" s="4">
        <f>T172*S172</f>
        <v>13.5</v>
      </c>
      <c r="W172" s="4">
        <f>U172*S172</f>
        <v>24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53">
        <v>0.5</v>
      </c>
      <c r="T173" s="48">
        <v>27</v>
      </c>
      <c r="U173" s="4">
        <v>48</v>
      </c>
      <c r="V173" s="4">
        <f>T173*S173</f>
        <v>13.5</v>
      </c>
      <c r="W173" s="4">
        <f>U173*S173</f>
        <v>24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56">
        <v>0.5</v>
      </c>
      <c r="J174" s="4">
        <v>90</v>
      </c>
      <c r="K174" s="43"/>
      <c r="L174" s="43">
        <v>0.4375</v>
      </c>
      <c r="M174" s="56">
        <v>0.5</v>
      </c>
      <c r="N174" s="4">
        <v>90</v>
      </c>
      <c r="O174" s="4" t="s">
        <v>26</v>
      </c>
      <c r="P174" s="4" t="s">
        <v>192</v>
      </c>
      <c r="Q174" s="59" t="s">
        <v>813</v>
      </c>
      <c r="R174" s="4"/>
      <c r="S174" s="50">
        <v>3</v>
      </c>
      <c r="T174" s="48">
        <v>27</v>
      </c>
      <c r="U174" s="4">
        <v>48</v>
      </c>
      <c r="V174" s="4">
        <f>T174*S174</f>
        <v>81</v>
      </c>
      <c r="W174" s="4">
        <f>U174*S174</f>
        <v>144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52">
        <v>0.55208333333333337</v>
      </c>
      <c r="I175" s="43">
        <v>0.5625</v>
      </c>
      <c r="J175" s="4">
        <v>15</v>
      </c>
      <c r="K175" s="43"/>
      <c r="L175" s="52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53">
        <v>0.25</v>
      </c>
      <c r="T175" s="48">
        <v>27</v>
      </c>
      <c r="U175" s="4">
        <v>48</v>
      </c>
      <c r="V175" s="4">
        <f>T175*S175</f>
        <v>6.75</v>
      </c>
      <c r="W175" s="4">
        <f>U175*S175</f>
        <v>12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56">
        <v>0.61111111111111105</v>
      </c>
      <c r="J176" s="4">
        <v>60</v>
      </c>
      <c r="K176" s="43"/>
      <c r="L176" s="45">
        <v>0.56944444444444442</v>
      </c>
      <c r="M176" s="56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50">
        <v>1.5</v>
      </c>
      <c r="T176" s="48">
        <v>27</v>
      </c>
      <c r="U176" s="4">
        <v>48</v>
      </c>
      <c r="V176" s="4">
        <f>T176*S176</f>
        <v>40.5</v>
      </c>
      <c r="W176" s="4">
        <f>U176*S176</f>
        <v>72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52">
        <v>0.6875</v>
      </c>
      <c r="I177" s="56">
        <v>0.70833333333333337</v>
      </c>
      <c r="J177" s="4">
        <v>30</v>
      </c>
      <c r="K177" s="43"/>
      <c r="L177" s="52">
        <v>0.6875</v>
      </c>
      <c r="M177" s="56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50">
        <v>1</v>
      </c>
      <c r="T177" s="48">
        <v>35</v>
      </c>
      <c r="U177" s="4">
        <v>48</v>
      </c>
      <c r="V177" s="4">
        <f>T177*S177</f>
        <v>35</v>
      </c>
      <c r="W177" s="4">
        <f>U177*S177</f>
        <v>48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52">
        <v>0.29166666666666669</v>
      </c>
      <c r="I178" s="43">
        <v>0.30208333333333331</v>
      </c>
      <c r="J178" s="4">
        <v>15</v>
      </c>
      <c r="K178" s="43"/>
      <c r="L178" s="52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53">
        <v>0.25</v>
      </c>
      <c r="T178" s="48">
        <v>35</v>
      </c>
      <c r="U178" s="4">
        <v>48</v>
      </c>
      <c r="V178" s="4">
        <f>T178*S178</f>
        <v>8.75</v>
      </c>
      <c r="W178" s="4">
        <f>U178*S178</f>
        <v>12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53">
        <v>2</v>
      </c>
      <c r="T179" s="48">
        <v>35</v>
      </c>
      <c r="U179" s="4">
        <v>48</v>
      </c>
      <c r="V179" s="4">
        <f>T179*S179</f>
        <v>70</v>
      </c>
      <c r="W179" s="4">
        <f>U179*S179</f>
        <v>96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56">
        <v>0.45833333333333331</v>
      </c>
      <c r="J180" s="4">
        <v>120</v>
      </c>
      <c r="K180" s="43"/>
      <c r="L180" s="45">
        <v>0.39583333333333331</v>
      </c>
      <c r="M180" s="56">
        <v>0.45833333333333331</v>
      </c>
      <c r="N180" s="4">
        <v>120</v>
      </c>
      <c r="O180" s="6" t="s">
        <v>115</v>
      </c>
      <c r="P180" s="4"/>
      <c r="Q180" s="4"/>
      <c r="R180" s="4"/>
      <c r="S180" s="50">
        <v>4</v>
      </c>
      <c r="T180" s="48">
        <v>35</v>
      </c>
      <c r="U180" s="4">
        <v>48</v>
      </c>
      <c r="V180" s="4">
        <f>T180*S180</f>
        <v>140</v>
      </c>
      <c r="W180" s="4">
        <f>U180*S180</f>
        <v>192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52">
        <v>0.54166666666666663</v>
      </c>
      <c r="I181" s="56">
        <v>0.5625</v>
      </c>
      <c r="J181" s="4">
        <v>30</v>
      </c>
      <c r="K181" s="43"/>
      <c r="L181" s="52">
        <v>0.54166666666666663</v>
      </c>
      <c r="M181" s="56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50">
        <v>1</v>
      </c>
      <c r="T181" s="48">
        <v>30</v>
      </c>
      <c r="U181" s="4">
        <v>48</v>
      </c>
      <c r="V181" s="4">
        <f>T181*S181</f>
        <v>30</v>
      </c>
      <c r="W181" s="4">
        <f>U181*S181</f>
        <v>48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52">
        <v>0.5</v>
      </c>
      <c r="I182" s="56">
        <v>0.6875</v>
      </c>
      <c r="J182" s="4">
        <v>270</v>
      </c>
      <c r="K182" s="43"/>
      <c r="L182" s="52">
        <v>0.5</v>
      </c>
      <c r="M182" s="56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50">
        <v>4.5</v>
      </c>
      <c r="T182" s="48">
        <v>30</v>
      </c>
      <c r="U182" s="4">
        <v>48</v>
      </c>
      <c r="V182" s="4">
        <f>T182*S182</f>
        <v>135</v>
      </c>
      <c r="W182" s="4">
        <f>U182*S182</f>
        <v>216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52">
        <v>0.46875</v>
      </c>
      <c r="I183" s="56">
        <v>0.5</v>
      </c>
      <c r="J183" s="4">
        <v>45</v>
      </c>
      <c r="K183" s="43"/>
      <c r="L183" s="52">
        <v>0.46875</v>
      </c>
      <c r="M183" s="56">
        <v>0.5</v>
      </c>
      <c r="N183" s="4">
        <v>45</v>
      </c>
      <c r="O183" s="6" t="s">
        <v>290</v>
      </c>
      <c r="P183" s="4"/>
      <c r="Q183" s="4"/>
      <c r="R183" s="4"/>
      <c r="S183" s="50">
        <v>1</v>
      </c>
      <c r="T183" s="48">
        <v>30</v>
      </c>
      <c r="U183" s="4">
        <v>48</v>
      </c>
      <c r="V183" s="4">
        <f>T183*S183</f>
        <v>30</v>
      </c>
      <c r="W183" s="4">
        <f>U183*S183</f>
        <v>48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52">
        <v>0.3125</v>
      </c>
      <c r="I184" s="56">
        <v>0.41666666666666669</v>
      </c>
      <c r="J184" s="4">
        <v>150</v>
      </c>
      <c r="K184" s="43"/>
      <c r="L184" s="52">
        <v>0.3125</v>
      </c>
      <c r="M184" s="56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50">
        <v>2.5</v>
      </c>
      <c r="T184" s="48">
        <v>30</v>
      </c>
      <c r="U184" s="4">
        <v>48</v>
      </c>
      <c r="V184" s="4">
        <f>T184*S184</f>
        <v>75</v>
      </c>
      <c r="W184" s="4">
        <f>U184*S184</f>
        <v>120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52">
        <v>0.45833333333333331</v>
      </c>
      <c r="I185" s="43">
        <v>0.48958333333333331</v>
      </c>
      <c r="J185" s="4">
        <v>45</v>
      </c>
      <c r="K185" s="43"/>
      <c r="L185" s="52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53">
        <v>0.75</v>
      </c>
      <c r="T185" s="48">
        <v>30</v>
      </c>
      <c r="U185" s="4">
        <v>48</v>
      </c>
      <c r="V185" s="4">
        <f>T185*S185</f>
        <v>22.5</v>
      </c>
      <c r="W185" s="4">
        <f>U185*S185</f>
        <v>36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56">
        <v>0.58333333333333326</v>
      </c>
      <c r="J186" s="4">
        <v>60</v>
      </c>
      <c r="K186" s="43"/>
      <c r="L186" s="43">
        <v>0.54166666666666663</v>
      </c>
      <c r="M186" s="56">
        <v>0.58333333333333326</v>
      </c>
      <c r="N186" s="4">
        <v>60</v>
      </c>
      <c r="O186" s="4" t="s">
        <v>110</v>
      </c>
      <c r="P186" s="4" t="s">
        <v>221</v>
      </c>
      <c r="Q186" s="59" t="s">
        <v>813</v>
      </c>
      <c r="R186" s="4"/>
      <c r="S186" s="50">
        <v>3</v>
      </c>
      <c r="T186" s="48">
        <v>30</v>
      </c>
      <c r="U186" s="4">
        <v>48</v>
      </c>
      <c r="V186" s="4">
        <f>T186*S186</f>
        <v>90</v>
      </c>
      <c r="W186" s="4">
        <f>U186*S186</f>
        <v>144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52">
        <v>0.70833333333333337</v>
      </c>
      <c r="I187" s="56">
        <v>0.75</v>
      </c>
      <c r="J187" s="4">
        <v>60</v>
      </c>
      <c r="K187" s="43"/>
      <c r="L187" s="52">
        <v>0.70833333333333337</v>
      </c>
      <c r="M187" s="56">
        <v>0.75</v>
      </c>
      <c r="N187" s="4">
        <v>60</v>
      </c>
      <c r="O187" s="6" t="s">
        <v>26</v>
      </c>
      <c r="P187" s="4"/>
      <c r="Q187" s="4"/>
      <c r="R187" s="4"/>
      <c r="S187" s="50">
        <v>1</v>
      </c>
      <c r="T187" s="48">
        <v>30</v>
      </c>
      <c r="U187" s="4">
        <v>48</v>
      </c>
      <c r="V187" s="4">
        <f>T187*S187</f>
        <v>30</v>
      </c>
      <c r="W187" s="4">
        <f>U187*S187</f>
        <v>48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52">
        <v>0.6875</v>
      </c>
      <c r="I188" s="43">
        <v>0.70833333333333337</v>
      </c>
      <c r="J188" s="4">
        <v>60</v>
      </c>
      <c r="K188" s="43"/>
      <c r="L188" s="52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53">
        <v>0.5</v>
      </c>
      <c r="T188" s="48">
        <v>30</v>
      </c>
      <c r="U188" s="4">
        <v>48</v>
      </c>
      <c r="V188" s="4">
        <f>T188*S188</f>
        <v>15</v>
      </c>
      <c r="W188" s="4">
        <f>U188*S188</f>
        <v>24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56">
        <v>0.83333333333333337</v>
      </c>
      <c r="J189" s="4">
        <v>90</v>
      </c>
      <c r="K189" s="43"/>
      <c r="L189" s="45">
        <v>0.77083333333333337</v>
      </c>
      <c r="M189" s="56">
        <v>0.83333333333333337</v>
      </c>
      <c r="N189" s="4">
        <v>90</v>
      </c>
      <c r="O189" s="6" t="s">
        <v>26</v>
      </c>
      <c r="P189" s="4" t="s">
        <v>711</v>
      </c>
      <c r="Q189" s="59" t="s">
        <v>813</v>
      </c>
      <c r="R189" s="4"/>
      <c r="S189" s="50">
        <v>3.5</v>
      </c>
      <c r="T189" s="48">
        <v>30</v>
      </c>
      <c r="U189" s="4">
        <v>48</v>
      </c>
      <c r="V189" s="4">
        <f>T189*S189</f>
        <v>105</v>
      </c>
      <c r="W189" s="4">
        <f>U189*S189</f>
        <v>168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52">
        <v>0.35416666666666669</v>
      </c>
      <c r="I190" s="43">
        <v>0.375</v>
      </c>
      <c r="J190" s="4">
        <v>30</v>
      </c>
      <c r="K190" s="43"/>
      <c r="L190" s="52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53">
        <v>0.5</v>
      </c>
      <c r="T190" s="48">
        <v>30</v>
      </c>
      <c r="U190" s="4">
        <v>48</v>
      </c>
      <c r="V190" s="4">
        <f>T190*S190</f>
        <v>15</v>
      </c>
      <c r="W190" s="4">
        <f>U190*S190</f>
        <v>24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56">
        <v>0.4375</v>
      </c>
      <c r="J191" s="4">
        <v>60</v>
      </c>
      <c r="K191" s="43"/>
      <c r="L191" s="45">
        <v>0.39583333333333331</v>
      </c>
      <c r="M191" s="56">
        <v>0.4375</v>
      </c>
      <c r="N191" s="4">
        <v>60</v>
      </c>
      <c r="O191" s="6" t="s">
        <v>26</v>
      </c>
      <c r="P191" s="4" t="s">
        <v>463</v>
      </c>
      <c r="Q191" s="59" t="s">
        <v>813</v>
      </c>
      <c r="R191" s="4"/>
      <c r="S191" s="50">
        <v>2</v>
      </c>
      <c r="T191" s="48">
        <v>30</v>
      </c>
      <c r="U191" s="4">
        <v>48</v>
      </c>
      <c r="V191" s="4">
        <f>T191*S191</f>
        <v>60</v>
      </c>
      <c r="W191" s="4">
        <f>U191*S191</f>
        <v>96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52">
        <v>0.39583333333333331</v>
      </c>
      <c r="I192" s="43">
        <v>0.40625</v>
      </c>
      <c r="J192" s="4">
        <v>15</v>
      </c>
      <c r="K192" s="43"/>
      <c r="L192" s="52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53">
        <v>0.25</v>
      </c>
      <c r="T192" s="48">
        <v>30</v>
      </c>
      <c r="U192" s="4">
        <v>48</v>
      </c>
      <c r="V192" s="4">
        <f>T192*S192</f>
        <v>7.5</v>
      </c>
      <c r="W192" s="4">
        <f>U192*S192</f>
        <v>12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53">
        <v>0.75</v>
      </c>
      <c r="T193" s="48">
        <v>30</v>
      </c>
      <c r="U193" s="4">
        <v>48</v>
      </c>
      <c r="V193" s="4">
        <f>T193*S193</f>
        <v>22.5</v>
      </c>
      <c r="W193" s="4">
        <f>U193*S193</f>
        <v>36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56">
        <v>0.4375</v>
      </c>
      <c r="J194" s="4">
        <v>15</v>
      </c>
      <c r="K194" s="43"/>
      <c r="L194" s="45">
        <v>0.42708333333333331</v>
      </c>
      <c r="M194" s="56">
        <v>0.4375</v>
      </c>
      <c r="N194" s="4">
        <v>15</v>
      </c>
      <c r="O194" s="6" t="s">
        <v>46</v>
      </c>
      <c r="P194" s="4" t="s">
        <v>47</v>
      </c>
      <c r="Q194" s="59" t="s">
        <v>814</v>
      </c>
      <c r="R194" s="4"/>
      <c r="S194" s="50">
        <v>1</v>
      </c>
      <c r="T194" s="48">
        <v>30</v>
      </c>
      <c r="U194" s="4">
        <v>48</v>
      </c>
      <c r="V194" s="4">
        <f>T194*S194</f>
        <v>30</v>
      </c>
      <c r="W194" s="4">
        <f>U194*S194</f>
        <v>48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52">
        <v>0.5</v>
      </c>
      <c r="I195" s="43">
        <v>0.6875</v>
      </c>
      <c r="J195" s="4">
        <v>270</v>
      </c>
      <c r="K195" s="43"/>
      <c r="L195" s="52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53">
        <v>4.5</v>
      </c>
      <c r="T195" s="48">
        <v>30</v>
      </c>
      <c r="U195" s="4">
        <v>48</v>
      </c>
      <c r="V195" s="4">
        <f>T195*S195</f>
        <v>135</v>
      </c>
      <c r="W195" s="4">
        <f>U195*S195</f>
        <v>216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56">
        <v>0.58333333333333337</v>
      </c>
      <c r="J196" s="4">
        <v>30</v>
      </c>
      <c r="K196" s="43"/>
      <c r="L196" s="43">
        <v>0.5625</v>
      </c>
      <c r="M196" s="56">
        <v>0.58333333333333337</v>
      </c>
      <c r="N196" s="4">
        <v>30</v>
      </c>
      <c r="O196" s="4" t="s">
        <v>110</v>
      </c>
      <c r="P196" s="4" t="s">
        <v>160</v>
      </c>
      <c r="Q196" s="59" t="s">
        <v>814</v>
      </c>
      <c r="R196" s="4"/>
      <c r="S196" s="50">
        <v>4.5</v>
      </c>
      <c r="T196" s="48">
        <v>30</v>
      </c>
      <c r="U196" s="4">
        <v>48</v>
      </c>
      <c r="V196" s="4">
        <f>T196*S196</f>
        <v>135</v>
      </c>
      <c r="W196" s="4">
        <f>U196*S196</f>
        <v>216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52">
        <v>0.4375</v>
      </c>
      <c r="I197" s="43">
        <v>0.45833333333333331</v>
      </c>
      <c r="J197" s="4">
        <v>30</v>
      </c>
      <c r="K197" s="43"/>
      <c r="L197" s="52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53">
        <v>0.5</v>
      </c>
      <c r="T197" s="48">
        <v>30</v>
      </c>
      <c r="U197" s="4">
        <v>48</v>
      </c>
      <c r="V197" s="4">
        <f>T197*S197</f>
        <v>15</v>
      </c>
      <c r="W197" s="4">
        <f>U197*S197</f>
        <v>24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59" t="s">
        <v>813</v>
      </c>
      <c r="R198" s="4"/>
      <c r="S198" s="53">
        <v>6.5</v>
      </c>
      <c r="T198" s="48">
        <v>30</v>
      </c>
      <c r="U198" s="4">
        <v>48</v>
      </c>
      <c r="V198" s="4">
        <f>T198*S198</f>
        <v>195</v>
      </c>
      <c r="W198" s="4">
        <f>U198*S198</f>
        <v>312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56">
        <v>0.73958333333333337</v>
      </c>
      <c r="J199" s="4">
        <v>15</v>
      </c>
      <c r="K199" s="43"/>
      <c r="L199" s="43">
        <v>0.72916666666666663</v>
      </c>
      <c r="M199" s="56">
        <v>0.73958333333333337</v>
      </c>
      <c r="N199" s="4">
        <v>15</v>
      </c>
      <c r="O199" s="4" t="s">
        <v>26</v>
      </c>
      <c r="P199" s="4"/>
      <c r="Q199" s="4"/>
      <c r="R199" s="4"/>
      <c r="S199" s="50">
        <v>7.25</v>
      </c>
      <c r="T199" s="48">
        <v>30</v>
      </c>
      <c r="U199" s="4">
        <v>48</v>
      </c>
      <c r="V199" s="4">
        <f>T199*S199</f>
        <v>217.5</v>
      </c>
      <c r="W199" s="4">
        <f>U199*S199</f>
        <v>348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52">
        <v>0.35416666666666669</v>
      </c>
      <c r="I200" s="56">
        <v>0.45833333333333331</v>
      </c>
      <c r="J200" s="4">
        <v>150</v>
      </c>
      <c r="K200" s="43"/>
      <c r="L200" s="52">
        <v>0.35416666666666669</v>
      </c>
      <c r="M200" s="56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50">
        <v>2.5</v>
      </c>
      <c r="T200" s="4"/>
      <c r="U200" s="4">
        <v>48</v>
      </c>
      <c r="V200" s="4">
        <f>T200*S200</f>
        <v>0</v>
      </c>
      <c r="W200" s="4">
        <f>U200*S200</f>
        <v>120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52">
        <v>0.5625</v>
      </c>
      <c r="I201" s="56">
        <v>0.58333333333333337</v>
      </c>
      <c r="J201" s="4">
        <v>30</v>
      </c>
      <c r="K201" s="43"/>
      <c r="L201" s="52">
        <v>0.5625</v>
      </c>
      <c r="M201" s="56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50">
        <v>1</v>
      </c>
      <c r="T201" s="48">
        <v>40</v>
      </c>
      <c r="U201" s="4">
        <v>48</v>
      </c>
      <c r="V201" s="4">
        <f>T201*S201</f>
        <v>40</v>
      </c>
      <c r="W201" s="4">
        <f>U201*S201</f>
        <v>48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52">
        <v>0.375</v>
      </c>
      <c r="I202" s="43">
        <v>0.41666666666666669</v>
      </c>
      <c r="J202" s="4">
        <v>60</v>
      </c>
      <c r="K202" s="43"/>
      <c r="L202" s="52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53">
        <v>1</v>
      </c>
      <c r="T202" s="48">
        <v>30</v>
      </c>
      <c r="U202" s="4">
        <v>48</v>
      </c>
      <c r="V202" s="4">
        <f>T202*S202</f>
        <v>30</v>
      </c>
      <c r="W202" s="4">
        <f>U202*S202</f>
        <v>48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56">
        <v>0.52083333333333337</v>
      </c>
      <c r="J203" s="4">
        <v>150</v>
      </c>
      <c r="K203" s="43"/>
      <c r="L203" s="45">
        <v>0.41666666666666669</v>
      </c>
      <c r="M203" s="56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50">
        <v>3.5</v>
      </c>
      <c r="T203" s="48">
        <v>30</v>
      </c>
      <c r="U203" s="4">
        <v>48</v>
      </c>
      <c r="V203" s="4">
        <f>T203*S203</f>
        <v>105</v>
      </c>
      <c r="W203" s="4">
        <f>U203*S203</f>
        <v>168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52">
        <v>0.66666666666666663</v>
      </c>
      <c r="I204" s="56">
        <v>0.6875</v>
      </c>
      <c r="J204" s="4">
        <v>30</v>
      </c>
      <c r="K204" s="43"/>
      <c r="L204" s="52">
        <v>0.66666666666666663</v>
      </c>
      <c r="M204" s="56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50">
        <v>1</v>
      </c>
      <c r="T204" s="48">
        <v>30</v>
      </c>
      <c r="U204" s="4">
        <v>48</v>
      </c>
      <c r="V204" s="4">
        <f>T204*S204</f>
        <v>30</v>
      </c>
      <c r="W204" s="4">
        <f>U204*S204</f>
        <v>48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52">
        <v>0.41666666666666669</v>
      </c>
      <c r="I205" s="56">
        <v>0.42708333333333337</v>
      </c>
      <c r="J205" s="4">
        <v>15</v>
      </c>
      <c r="K205" s="43"/>
      <c r="L205" s="52">
        <v>0.41666666666666669</v>
      </c>
      <c r="M205" s="56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50">
        <v>1</v>
      </c>
      <c r="T205" s="48">
        <v>30</v>
      </c>
      <c r="U205" s="4">
        <v>48</v>
      </c>
      <c r="V205" s="4">
        <f>T205*S205</f>
        <v>30</v>
      </c>
      <c r="W205" s="4">
        <f>U205*S205</f>
        <v>48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52">
        <v>0.5625</v>
      </c>
      <c r="I206" s="43">
        <v>0.58333333333333337</v>
      </c>
      <c r="J206" s="4">
        <v>30</v>
      </c>
      <c r="K206" s="43"/>
      <c r="L206" s="52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53">
        <v>0.5</v>
      </c>
      <c r="T206" s="48">
        <v>32</v>
      </c>
      <c r="U206" s="4">
        <v>48</v>
      </c>
      <c r="V206" s="4">
        <f>T206*S206</f>
        <v>16</v>
      </c>
      <c r="W206" s="4">
        <f>U206*S206</f>
        <v>24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56">
        <v>0.8125</v>
      </c>
      <c r="J207" s="4">
        <v>300</v>
      </c>
      <c r="K207" s="43"/>
      <c r="L207" s="45">
        <v>0.60416666666666663</v>
      </c>
      <c r="M207" s="56">
        <v>0.8125</v>
      </c>
      <c r="N207" s="4">
        <v>300</v>
      </c>
      <c r="O207" s="6" t="s">
        <v>26</v>
      </c>
      <c r="P207" s="4" t="s">
        <v>535</v>
      </c>
      <c r="Q207" s="59" t="s">
        <v>813</v>
      </c>
      <c r="R207" s="4"/>
      <c r="S207" s="50">
        <v>6</v>
      </c>
      <c r="T207" s="48">
        <v>32</v>
      </c>
      <c r="U207" s="4">
        <v>48</v>
      </c>
      <c r="V207" s="4">
        <f>T207*S207</f>
        <v>192</v>
      </c>
      <c r="W207" s="4">
        <f>U207*S207</f>
        <v>288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52">
        <v>0.45833333333333331</v>
      </c>
      <c r="I208" s="56">
        <v>0.5</v>
      </c>
      <c r="J208" s="4">
        <v>60</v>
      </c>
      <c r="K208" s="43"/>
      <c r="L208" s="52">
        <v>0.45833333333333331</v>
      </c>
      <c r="M208" s="56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50">
        <v>1</v>
      </c>
      <c r="T208" s="48">
        <v>32</v>
      </c>
      <c r="U208" s="4">
        <v>48</v>
      </c>
      <c r="V208" s="4">
        <f>T208*S208</f>
        <v>32</v>
      </c>
      <c r="W208" s="4">
        <f>U208*S208</f>
        <v>48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52">
        <v>0.41666666666666669</v>
      </c>
      <c r="I209" s="56">
        <v>0.45833333333333337</v>
      </c>
      <c r="J209" s="4">
        <v>60</v>
      </c>
      <c r="K209" s="43"/>
      <c r="L209" s="52">
        <v>0.41666666666666669</v>
      </c>
      <c r="M209" s="56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50">
        <v>1</v>
      </c>
      <c r="T209" s="48">
        <v>32</v>
      </c>
      <c r="U209" s="4">
        <v>48</v>
      </c>
      <c r="V209" s="4">
        <f>T209*S209</f>
        <v>32</v>
      </c>
      <c r="W209" s="4">
        <f>U209*S209</f>
        <v>48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52">
        <v>0.41666666666666669</v>
      </c>
      <c r="I210" s="43">
        <v>0.4375</v>
      </c>
      <c r="J210" s="4">
        <v>30</v>
      </c>
      <c r="K210" s="43"/>
      <c r="L210" s="52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53">
        <v>0.5</v>
      </c>
      <c r="T210" s="48">
        <v>38</v>
      </c>
      <c r="U210" s="4">
        <v>48</v>
      </c>
      <c r="V210" s="4">
        <f>T210*S210</f>
        <v>19</v>
      </c>
      <c r="W210" s="4">
        <f>U210*S210</f>
        <v>24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56">
        <v>0.58333333333333337</v>
      </c>
      <c r="J211" s="4">
        <v>150</v>
      </c>
      <c r="K211" s="43"/>
      <c r="L211" s="45">
        <v>0.47916666666666669</v>
      </c>
      <c r="M211" s="56">
        <v>0.58333333333333337</v>
      </c>
      <c r="N211" s="4">
        <v>150</v>
      </c>
      <c r="O211" s="6" t="s">
        <v>323</v>
      </c>
      <c r="P211" s="4" t="s">
        <v>632</v>
      </c>
      <c r="Q211" s="59" t="s">
        <v>813</v>
      </c>
      <c r="R211" s="4"/>
      <c r="S211" s="50">
        <v>4</v>
      </c>
      <c r="T211" s="48">
        <v>38</v>
      </c>
      <c r="U211" s="4">
        <v>48</v>
      </c>
      <c r="V211" s="4">
        <f>T211*S211</f>
        <v>152</v>
      </c>
      <c r="W211" s="4">
        <f>U211*S211</f>
        <v>192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52">
        <v>0.625</v>
      </c>
      <c r="I212" s="56">
        <v>0.64583333333333337</v>
      </c>
      <c r="J212" s="4">
        <v>30</v>
      </c>
      <c r="K212" s="43"/>
      <c r="L212" s="52">
        <v>0.625</v>
      </c>
      <c r="M212" s="56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50">
        <v>1</v>
      </c>
      <c r="T212" s="48">
        <v>38</v>
      </c>
      <c r="U212" s="4">
        <v>48</v>
      </c>
      <c r="V212" s="4">
        <f>T212*S212</f>
        <v>38</v>
      </c>
      <c r="W212" s="4">
        <f>U212*S212</f>
        <v>48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52">
        <v>0.64583333333333337</v>
      </c>
      <c r="I213" s="56">
        <v>0.66666666666666674</v>
      </c>
      <c r="J213" s="4">
        <v>30</v>
      </c>
      <c r="K213" s="43"/>
      <c r="L213" s="52">
        <v>0.64583333333333337</v>
      </c>
      <c r="M213" s="56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50">
        <v>1</v>
      </c>
      <c r="T213" s="48">
        <v>38</v>
      </c>
      <c r="U213" s="4">
        <v>48</v>
      </c>
      <c r="V213" s="4">
        <f>T213*S213</f>
        <v>38</v>
      </c>
      <c r="W213" s="4">
        <f>U213*S213</f>
        <v>48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52">
        <v>0.39583333333333331</v>
      </c>
      <c r="I214" s="56">
        <v>0.41666666666666663</v>
      </c>
      <c r="J214" s="4">
        <v>30</v>
      </c>
      <c r="K214" s="43"/>
      <c r="L214" s="52">
        <v>0.39583333333333331</v>
      </c>
      <c r="M214" s="56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50">
        <v>1</v>
      </c>
      <c r="T214" s="48">
        <v>25</v>
      </c>
      <c r="U214" s="4">
        <v>48</v>
      </c>
      <c r="V214" s="4">
        <f>T214*S214</f>
        <v>25</v>
      </c>
      <c r="W214" s="4">
        <f>U214*S214</f>
        <v>48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52">
        <v>0.41666666666666669</v>
      </c>
      <c r="I215" s="43">
        <v>0.4375</v>
      </c>
      <c r="J215" s="4">
        <v>30</v>
      </c>
      <c r="K215" s="43"/>
      <c r="L215" s="52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53">
        <v>0.5</v>
      </c>
      <c r="T215" s="48">
        <v>30</v>
      </c>
      <c r="U215" s="4">
        <v>48</v>
      </c>
      <c r="V215" s="4">
        <f>T215*S215</f>
        <v>15</v>
      </c>
      <c r="W215" s="4">
        <f>U215*S215</f>
        <v>24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56">
        <v>0.54166666666666674</v>
      </c>
      <c r="J216" s="4">
        <v>90</v>
      </c>
      <c r="K216" s="43"/>
      <c r="L216" s="45">
        <v>0.47916666666666669</v>
      </c>
      <c r="M216" s="56">
        <v>0.54166666666666674</v>
      </c>
      <c r="N216" s="4">
        <v>90</v>
      </c>
      <c r="O216" s="6" t="s">
        <v>26</v>
      </c>
      <c r="P216" s="4" t="s">
        <v>192</v>
      </c>
      <c r="Q216" s="59" t="s">
        <v>813</v>
      </c>
      <c r="R216" s="4"/>
      <c r="S216" s="50">
        <v>3</v>
      </c>
      <c r="T216" s="48">
        <v>30</v>
      </c>
      <c r="U216" s="4">
        <v>48</v>
      </c>
      <c r="V216" s="4">
        <f>T216*S216</f>
        <v>90</v>
      </c>
      <c r="W216" s="4">
        <f>U216*S216</f>
        <v>144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216"/>
  <sheetViews>
    <sheetView topLeftCell="F1"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52">
        <v>0.58333333333333337</v>
      </c>
      <c r="I2" s="56">
        <v>0.61458333333333337</v>
      </c>
      <c r="J2" s="4">
        <v>45</v>
      </c>
      <c r="K2" s="43"/>
      <c r="L2" s="52">
        <v>0.58333333333333337</v>
      </c>
      <c r="M2" s="56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50">
        <v>1</v>
      </c>
      <c r="T2" s="48">
        <v>30</v>
      </c>
      <c r="U2" s="4">
        <v>48</v>
      </c>
      <c r="V2" s="4">
        <f>T2*S2</f>
        <v>30</v>
      </c>
      <c r="W2" s="4">
        <f>U2*S2</f>
        <v>48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54">
        <v>0.5625</v>
      </c>
      <c r="I3" s="58">
        <v>0.57291666666666663</v>
      </c>
      <c r="J3" s="9">
        <v>15</v>
      </c>
      <c r="K3" s="44"/>
      <c r="L3" s="54">
        <v>0.5625</v>
      </c>
      <c r="M3" s="58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57">
        <v>1</v>
      </c>
      <c r="T3" s="49">
        <v>30</v>
      </c>
      <c r="U3" s="9">
        <v>48</v>
      </c>
      <c r="V3" s="4">
        <f>T3*S3</f>
        <v>30</v>
      </c>
      <c r="W3" s="4">
        <f>U3*S3</f>
        <v>48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52">
        <v>0.39583333333333331</v>
      </c>
      <c r="I4" s="56">
        <v>0.41666666666666663</v>
      </c>
      <c r="J4" s="4">
        <v>30</v>
      </c>
      <c r="K4" s="43"/>
      <c r="L4" s="52">
        <v>0.39583333333333331</v>
      </c>
      <c r="M4" s="56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50">
        <v>1</v>
      </c>
      <c r="T4" s="48">
        <v>30</v>
      </c>
      <c r="U4" s="4">
        <v>48</v>
      </c>
      <c r="V4" s="4">
        <f>T4*S4</f>
        <v>30</v>
      </c>
      <c r="W4" s="4">
        <f>U4*S4</f>
        <v>48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52">
        <v>0.5625</v>
      </c>
      <c r="I5" s="56">
        <v>0.72916666666666663</v>
      </c>
      <c r="J5" s="4">
        <v>240</v>
      </c>
      <c r="K5" s="43"/>
      <c r="L5" s="52">
        <v>0.5625</v>
      </c>
      <c r="M5" s="56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50">
        <v>4</v>
      </c>
      <c r="T5" s="48">
        <v>30</v>
      </c>
      <c r="U5" s="4">
        <v>48</v>
      </c>
      <c r="V5" s="4">
        <f>T5*S5</f>
        <v>120</v>
      </c>
      <c r="W5" s="4">
        <f>U5*S5</f>
        <v>192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52">
        <v>0.47916666666666669</v>
      </c>
      <c r="I6" s="43">
        <v>0.49305555555555558</v>
      </c>
      <c r="J6" s="4">
        <v>20</v>
      </c>
      <c r="K6" s="43"/>
      <c r="L6" s="52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53">
        <v>0.5</v>
      </c>
      <c r="T6" s="48">
        <v>30</v>
      </c>
      <c r="U6" s="4">
        <v>48</v>
      </c>
      <c r="V6" s="4">
        <f>T6*S6</f>
        <v>15</v>
      </c>
      <c r="W6" s="4">
        <f>U6*S6</f>
        <v>24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56">
        <v>0.51388888888888884</v>
      </c>
      <c r="J7" s="4">
        <v>20</v>
      </c>
      <c r="K7" s="43"/>
      <c r="L7" s="45">
        <v>0.5</v>
      </c>
      <c r="M7" s="56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50">
        <v>1</v>
      </c>
      <c r="T7" s="48">
        <v>30</v>
      </c>
      <c r="U7" s="4">
        <v>48</v>
      </c>
      <c r="V7" s="4">
        <f>T7*S7</f>
        <v>30</v>
      </c>
      <c r="W7" s="4">
        <f>U7*S7</f>
        <v>48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52">
        <v>0.45833333333333331</v>
      </c>
      <c r="I8" s="56">
        <v>0.47916666666666663</v>
      </c>
      <c r="J8" s="4">
        <v>30</v>
      </c>
      <c r="K8" s="43"/>
      <c r="L8" s="52">
        <v>0.45833333333333331</v>
      </c>
      <c r="M8" s="56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50">
        <v>1</v>
      </c>
      <c r="T8" s="48">
        <v>30</v>
      </c>
      <c r="U8" s="4">
        <v>48</v>
      </c>
      <c r="V8" s="4">
        <f>T8*S8</f>
        <v>30</v>
      </c>
      <c r="W8" s="4">
        <f>U8*S8</f>
        <v>48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52">
        <v>0.375</v>
      </c>
      <c r="I9" s="43">
        <v>0.41666666666666669</v>
      </c>
      <c r="J9" s="4">
        <v>60</v>
      </c>
      <c r="K9" s="43"/>
      <c r="L9" s="52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53">
        <v>1</v>
      </c>
      <c r="T9" s="48">
        <v>30</v>
      </c>
      <c r="U9" s="4">
        <v>48</v>
      </c>
      <c r="V9" s="4">
        <f>T9*S9</f>
        <v>30</v>
      </c>
      <c r="W9" s="4">
        <f>U9*S9</f>
        <v>48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56">
        <v>0.45833333333333337</v>
      </c>
      <c r="J10" s="4">
        <v>60</v>
      </c>
      <c r="K10" s="43"/>
      <c r="L10" s="43">
        <v>0.41666666666666669</v>
      </c>
      <c r="M10" s="56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50">
        <v>2</v>
      </c>
      <c r="T10" s="48">
        <v>30</v>
      </c>
      <c r="U10" s="4">
        <v>48</v>
      </c>
      <c r="V10" s="4">
        <f>T10*S10</f>
        <v>60</v>
      </c>
      <c r="W10" s="4">
        <f>U10*S10</f>
        <v>96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52">
        <v>0.53125</v>
      </c>
      <c r="I11" s="43">
        <v>0.58333333333333337</v>
      </c>
      <c r="J11" s="4">
        <v>75</v>
      </c>
      <c r="K11" s="43"/>
      <c r="L11" s="52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53">
        <v>1.25</v>
      </c>
      <c r="T11" s="48">
        <v>30</v>
      </c>
      <c r="U11" s="4">
        <v>48</v>
      </c>
      <c r="V11" s="4">
        <f>T11*S11</f>
        <v>37.5</v>
      </c>
      <c r="W11" s="4">
        <f>U11*S11</f>
        <v>60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56">
        <v>0.625</v>
      </c>
      <c r="J12" s="4">
        <v>60</v>
      </c>
      <c r="K12" s="43"/>
      <c r="L12" s="43">
        <v>0.58333333333333337</v>
      </c>
      <c r="M12" s="56">
        <v>0.625</v>
      </c>
      <c r="N12" s="4">
        <v>60</v>
      </c>
      <c r="O12" s="4" t="s">
        <v>167</v>
      </c>
      <c r="P12" s="4"/>
      <c r="Q12" s="4"/>
      <c r="R12" s="4"/>
      <c r="S12" s="50">
        <v>2.25</v>
      </c>
      <c r="T12" s="48">
        <v>30</v>
      </c>
      <c r="U12" s="4">
        <v>48</v>
      </c>
      <c r="V12" s="4">
        <f>T12*S12</f>
        <v>67.5</v>
      </c>
      <c r="W12" s="4">
        <f>U12*S12</f>
        <v>108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52">
        <v>0.40277777777777773</v>
      </c>
      <c r="I13" s="56">
        <v>0.42361111111111105</v>
      </c>
      <c r="J13" s="4">
        <v>30</v>
      </c>
      <c r="K13" s="43"/>
      <c r="L13" s="52">
        <v>0.40277777777777773</v>
      </c>
      <c r="M13" s="56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50">
        <v>1</v>
      </c>
      <c r="T13" s="48">
        <v>30</v>
      </c>
      <c r="U13" s="4">
        <v>48</v>
      </c>
      <c r="V13" s="4">
        <f>T13*S13</f>
        <v>30</v>
      </c>
      <c r="W13" s="4">
        <f>U13*S13</f>
        <v>48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52">
        <v>0.6875</v>
      </c>
      <c r="I14" s="56">
        <v>0.70833333333333337</v>
      </c>
      <c r="J14" s="4">
        <v>30</v>
      </c>
      <c r="K14" s="43"/>
      <c r="L14" s="52">
        <v>0.6875</v>
      </c>
      <c r="M14" s="56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50">
        <v>1</v>
      </c>
      <c r="T14" s="48">
        <v>32</v>
      </c>
      <c r="U14" s="4">
        <v>48</v>
      </c>
      <c r="V14" s="4">
        <f>T14*S14</f>
        <v>32</v>
      </c>
      <c r="W14" s="4">
        <f>U14*S14</f>
        <v>48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52">
        <v>0.63541666666666663</v>
      </c>
      <c r="I15" s="56">
        <v>0.65625</v>
      </c>
      <c r="J15" s="4">
        <v>45</v>
      </c>
      <c r="K15" s="43"/>
      <c r="L15" s="52">
        <v>0.63541666666666663</v>
      </c>
      <c r="M15" s="56">
        <v>0.65625</v>
      </c>
      <c r="N15" s="4">
        <v>45</v>
      </c>
      <c r="O15" s="6" t="s">
        <v>695</v>
      </c>
      <c r="P15" s="4"/>
      <c r="Q15" s="4"/>
      <c r="R15" s="4"/>
      <c r="S15" s="50">
        <v>1</v>
      </c>
      <c r="T15" s="48">
        <v>32</v>
      </c>
      <c r="U15" s="4">
        <v>48</v>
      </c>
      <c r="V15" s="4">
        <f>T15*S15</f>
        <v>32</v>
      </c>
      <c r="W15" s="4">
        <f>U15*S15</f>
        <v>48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52">
        <v>0.33333333333333331</v>
      </c>
      <c r="I16" s="56">
        <v>0.35416666666666663</v>
      </c>
      <c r="J16" s="4">
        <v>30</v>
      </c>
      <c r="K16" s="43"/>
      <c r="L16" s="52">
        <v>0.33333333333333331</v>
      </c>
      <c r="M16" s="56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50">
        <v>1</v>
      </c>
      <c r="T16" s="48">
        <v>32</v>
      </c>
      <c r="U16" s="4">
        <v>48</v>
      </c>
      <c r="V16" s="4">
        <f>T16*S16</f>
        <v>32</v>
      </c>
      <c r="W16" s="4">
        <f>U16*S16</f>
        <v>48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52">
        <v>0.36458333333333331</v>
      </c>
      <c r="I17" s="43">
        <v>0.375</v>
      </c>
      <c r="J17" s="4">
        <v>15</v>
      </c>
      <c r="K17" s="43"/>
      <c r="L17" s="52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53">
        <v>0.25</v>
      </c>
      <c r="T17" s="48">
        <v>32</v>
      </c>
      <c r="U17" s="4">
        <v>48</v>
      </c>
      <c r="V17" s="4">
        <f>T17*S17</f>
        <v>8</v>
      </c>
      <c r="W17" s="4">
        <f>U17*S17</f>
        <v>12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10" t="s">
        <v>809</v>
      </c>
      <c r="R18" s="4"/>
      <c r="S18" s="53">
        <v>451</v>
      </c>
      <c r="T18" s="48">
        <v>32</v>
      </c>
      <c r="U18" s="4">
        <v>48</v>
      </c>
      <c r="V18" s="4">
        <f>T18*S18</f>
        <v>14432</v>
      </c>
      <c r="W18" s="4">
        <f>U18*S18</f>
        <v>21648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56">
        <v>0.4236111111111111</v>
      </c>
      <c r="J19" s="4">
        <v>40</v>
      </c>
      <c r="K19" s="43"/>
      <c r="L19" s="45">
        <v>0.39583333333333331</v>
      </c>
      <c r="M19" s="56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50">
        <v>1.5</v>
      </c>
      <c r="T19" s="48">
        <v>32</v>
      </c>
      <c r="U19" s="4">
        <v>48</v>
      </c>
      <c r="V19" s="4">
        <f>T19*S19</f>
        <v>48</v>
      </c>
      <c r="W19" s="4">
        <f>U19*S19</f>
        <v>72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52">
        <v>0.5</v>
      </c>
      <c r="I20" s="43">
        <v>0.51041666666666663</v>
      </c>
      <c r="J20" s="4">
        <v>15</v>
      </c>
      <c r="K20" s="43"/>
      <c r="L20" s="52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53">
        <v>0.25</v>
      </c>
      <c r="T20" s="48">
        <v>32</v>
      </c>
      <c r="U20" s="4">
        <v>48</v>
      </c>
      <c r="V20" s="4">
        <f>T20*S20</f>
        <v>8</v>
      </c>
      <c r="W20" s="4">
        <f>U20*S20</f>
        <v>12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53">
        <v>337</v>
      </c>
      <c r="T21" s="48">
        <v>32</v>
      </c>
      <c r="U21" s="4">
        <v>48</v>
      </c>
      <c r="V21" s="4">
        <f>T21*S21</f>
        <v>10784</v>
      </c>
      <c r="W21" s="4">
        <f>U21*S21</f>
        <v>16176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56">
        <v>0.54861111111111116</v>
      </c>
      <c r="J22" s="4">
        <v>40</v>
      </c>
      <c r="K22" s="43"/>
      <c r="L22" s="43">
        <v>0.52777777777777779</v>
      </c>
      <c r="M22" s="56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50">
        <v>1.25</v>
      </c>
      <c r="T22" s="48">
        <v>32</v>
      </c>
      <c r="U22" s="4">
        <v>48</v>
      </c>
      <c r="V22" s="4">
        <f>T22*S22</f>
        <v>40</v>
      </c>
      <c r="W22" s="4">
        <f>U22*S22</f>
        <v>60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52">
        <v>0.55208333333333337</v>
      </c>
      <c r="I23" s="56">
        <v>0.5625</v>
      </c>
      <c r="J23" s="4">
        <v>15</v>
      </c>
      <c r="K23" s="43"/>
      <c r="L23" s="52">
        <v>0.55208333333333337</v>
      </c>
      <c r="M23" s="56">
        <v>0.5625</v>
      </c>
      <c r="N23" s="4">
        <v>15</v>
      </c>
      <c r="O23" s="4" t="s">
        <v>107</v>
      </c>
      <c r="P23" s="4" t="s">
        <v>523</v>
      </c>
      <c r="Q23" s="4"/>
      <c r="R23" s="4"/>
      <c r="S23" s="50">
        <v>1</v>
      </c>
      <c r="T23" s="48">
        <v>32</v>
      </c>
      <c r="U23" s="4">
        <v>48</v>
      </c>
      <c r="V23" s="4">
        <f>T23*S23</f>
        <v>32</v>
      </c>
      <c r="W23" s="4">
        <f>U23*S23</f>
        <v>48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52">
        <v>0.4375</v>
      </c>
      <c r="I24" s="43">
        <v>0.45833333333333331</v>
      </c>
      <c r="J24" s="4">
        <v>30</v>
      </c>
      <c r="K24" s="43"/>
      <c r="L24" s="52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53">
        <v>0.5</v>
      </c>
      <c r="T24" s="48">
        <v>32</v>
      </c>
      <c r="U24" s="4">
        <v>48</v>
      </c>
      <c r="V24" s="4">
        <f>T24*S24</f>
        <v>16</v>
      </c>
      <c r="W24" s="4">
        <f>U24*S24</f>
        <v>24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56">
        <v>0.5</v>
      </c>
      <c r="J25" s="4">
        <v>45</v>
      </c>
      <c r="K25" s="43"/>
      <c r="L25" s="43">
        <v>0.46875</v>
      </c>
      <c r="M25" s="56">
        <v>0.5</v>
      </c>
      <c r="N25" s="4">
        <v>45</v>
      </c>
      <c r="O25" s="4" t="s">
        <v>82</v>
      </c>
      <c r="P25" s="4" t="s">
        <v>83</v>
      </c>
      <c r="Q25" s="4"/>
      <c r="R25" s="4"/>
      <c r="S25" s="50">
        <v>1.5</v>
      </c>
      <c r="T25" s="48">
        <v>32</v>
      </c>
      <c r="U25" s="4">
        <v>48</v>
      </c>
      <c r="V25" s="4">
        <f>T25*S25</f>
        <v>48</v>
      </c>
      <c r="W25" s="4">
        <f>U25*S25</f>
        <v>72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52">
        <v>0.54166666666666663</v>
      </c>
      <c r="I26" s="56">
        <v>0.57638888888888895</v>
      </c>
      <c r="J26" s="4">
        <v>50</v>
      </c>
      <c r="K26" s="43"/>
      <c r="L26" s="52">
        <v>0.54166666666666663</v>
      </c>
      <c r="M26" s="56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50">
        <v>1</v>
      </c>
      <c r="T26" s="48">
        <v>32</v>
      </c>
      <c r="U26" s="4">
        <v>48</v>
      </c>
      <c r="V26" s="4">
        <f>T26*S26</f>
        <v>32</v>
      </c>
      <c r="W26" s="4">
        <f>U26*S26</f>
        <v>48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52">
        <v>0.39583333333333331</v>
      </c>
      <c r="I27" s="43">
        <v>0.41666666666666663</v>
      </c>
      <c r="J27" s="4">
        <v>30</v>
      </c>
      <c r="K27" s="43"/>
      <c r="L27" s="52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53">
        <v>0.5</v>
      </c>
      <c r="T27" s="48">
        <v>32</v>
      </c>
      <c r="U27" s="4">
        <v>48</v>
      </c>
      <c r="V27" s="4">
        <f>T27*S27</f>
        <v>16</v>
      </c>
      <c r="W27" s="4">
        <f>U27*S27</f>
        <v>24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56">
        <v>0.45833333333333337</v>
      </c>
      <c r="J28" s="4">
        <v>60</v>
      </c>
      <c r="K28" s="43"/>
      <c r="L28" s="45">
        <v>0.41666666666666669</v>
      </c>
      <c r="M28" s="56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50">
        <v>1.5</v>
      </c>
      <c r="T28" s="48">
        <v>32</v>
      </c>
      <c r="U28" s="4">
        <v>48</v>
      </c>
      <c r="V28" s="4">
        <f>T28*S28</f>
        <v>48</v>
      </c>
      <c r="W28" s="4">
        <f>U28*S28</f>
        <v>72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52">
        <v>0.47916666666666669</v>
      </c>
      <c r="I29" s="56">
        <v>0.5</v>
      </c>
      <c r="J29" s="4">
        <v>30</v>
      </c>
      <c r="K29" s="43"/>
      <c r="L29" s="52">
        <v>0.47916666666666669</v>
      </c>
      <c r="M29" s="56">
        <v>0.5</v>
      </c>
      <c r="N29" s="4">
        <v>30</v>
      </c>
      <c r="O29" s="4" t="s">
        <v>156</v>
      </c>
      <c r="P29" s="4" t="s">
        <v>269</v>
      </c>
      <c r="Q29" s="4"/>
      <c r="R29" s="4"/>
      <c r="S29" s="50">
        <v>1</v>
      </c>
      <c r="T29" s="48">
        <v>32</v>
      </c>
      <c r="U29" s="4">
        <v>48</v>
      </c>
      <c r="V29" s="4">
        <f>T29*S29</f>
        <v>32</v>
      </c>
      <c r="W29" s="4">
        <f>U29*S29</f>
        <v>48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52">
        <v>0.60416666666666663</v>
      </c>
      <c r="I30" s="43">
        <v>0.625</v>
      </c>
      <c r="J30" s="4">
        <v>30</v>
      </c>
      <c r="K30" s="43"/>
      <c r="L30" s="52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53">
        <v>0.5</v>
      </c>
      <c r="T30" s="48">
        <v>32</v>
      </c>
      <c r="U30" s="4">
        <v>48</v>
      </c>
      <c r="V30" s="4">
        <f>T30*S30</f>
        <v>16</v>
      </c>
      <c r="W30" s="4">
        <f>U30*S30</f>
        <v>24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56">
        <v>0.70833333333333337</v>
      </c>
      <c r="J31" s="4">
        <v>90</v>
      </c>
      <c r="K31" s="43"/>
      <c r="L31" s="45">
        <v>0.64583333333333337</v>
      </c>
      <c r="M31" s="56">
        <v>0.70833333333333337</v>
      </c>
      <c r="N31" s="4">
        <v>90</v>
      </c>
      <c r="O31" s="6" t="s">
        <v>26</v>
      </c>
      <c r="P31" s="4" t="s">
        <v>376</v>
      </c>
      <c r="Q31" s="10" t="s">
        <v>809</v>
      </c>
      <c r="R31" s="4"/>
      <c r="S31" s="50">
        <v>2.5</v>
      </c>
      <c r="T31" s="48">
        <v>32</v>
      </c>
      <c r="U31" s="4">
        <v>48</v>
      </c>
      <c r="V31" s="4">
        <f>T31*S31</f>
        <v>80</v>
      </c>
      <c r="W31" s="4">
        <f>U31*S31</f>
        <v>120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52">
        <v>0.64583333333333337</v>
      </c>
      <c r="I32" s="56">
        <v>0.6875</v>
      </c>
      <c r="J32" s="4">
        <v>60</v>
      </c>
      <c r="K32" s="43"/>
      <c r="L32" s="52">
        <v>0.64583333333333337</v>
      </c>
      <c r="M32" s="56">
        <v>0.6875</v>
      </c>
      <c r="N32" s="4">
        <v>60</v>
      </c>
      <c r="O32" s="6" t="s">
        <v>120</v>
      </c>
      <c r="P32" s="4" t="s">
        <v>187</v>
      </c>
      <c r="Q32" s="4"/>
      <c r="R32" s="4"/>
      <c r="S32" s="50">
        <v>1</v>
      </c>
      <c r="T32" s="48">
        <v>32</v>
      </c>
      <c r="U32" s="4">
        <v>48</v>
      </c>
      <c r="V32" s="4">
        <f>T32*S32</f>
        <v>32</v>
      </c>
      <c r="W32" s="4">
        <f>U32*S32</f>
        <v>48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52">
        <v>0.375</v>
      </c>
      <c r="I33" s="43">
        <v>0.38541666666666669</v>
      </c>
      <c r="J33" s="4">
        <v>15</v>
      </c>
      <c r="K33" s="43"/>
      <c r="L33" s="52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53">
        <v>0.25</v>
      </c>
      <c r="T33" s="48">
        <v>32</v>
      </c>
      <c r="U33" s="4">
        <v>48</v>
      </c>
      <c r="V33" s="4">
        <f>T33*S33</f>
        <v>8</v>
      </c>
      <c r="W33" s="4">
        <f>U33*S33</f>
        <v>12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10" t="s">
        <v>809</v>
      </c>
      <c r="R34" s="4"/>
      <c r="S34" s="53">
        <v>571.5</v>
      </c>
      <c r="T34" s="48">
        <v>32</v>
      </c>
      <c r="U34" s="4">
        <v>48</v>
      </c>
      <c r="V34" s="4">
        <f>T34*S34</f>
        <v>18288</v>
      </c>
      <c r="W34" s="4">
        <f>U34*S34</f>
        <v>27432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56">
        <v>0.43750000000000006</v>
      </c>
      <c r="J35" s="4">
        <v>40</v>
      </c>
      <c r="K35" s="43"/>
      <c r="L35" s="45">
        <v>0.40972222222222227</v>
      </c>
      <c r="M35" s="56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50">
        <v>1.5</v>
      </c>
      <c r="T35" s="48">
        <v>32</v>
      </c>
      <c r="U35" s="4">
        <v>48</v>
      </c>
      <c r="V35" s="4">
        <f>T35*S35</f>
        <v>48</v>
      </c>
      <c r="W35" s="4">
        <f>U35*S35</f>
        <v>72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52">
        <v>0.64583333333333337</v>
      </c>
      <c r="I36" s="56">
        <v>0.66666666666666674</v>
      </c>
      <c r="J36" s="4">
        <v>30</v>
      </c>
      <c r="K36" s="43"/>
      <c r="L36" s="52">
        <v>0.64583333333333337</v>
      </c>
      <c r="M36" s="56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50">
        <v>1</v>
      </c>
      <c r="T36" s="48">
        <v>32</v>
      </c>
      <c r="U36" s="4">
        <v>48</v>
      </c>
      <c r="V36" s="4">
        <f>T36*S36</f>
        <v>32</v>
      </c>
      <c r="W36" s="4">
        <f>U36*S36</f>
        <v>48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52">
        <v>0.64236111111111105</v>
      </c>
      <c r="I37" s="56">
        <v>0.66666666666666663</v>
      </c>
      <c r="J37" s="4">
        <v>35</v>
      </c>
      <c r="K37" s="43"/>
      <c r="L37" s="52">
        <v>0.64236111111111105</v>
      </c>
      <c r="M37" s="56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50">
        <v>1</v>
      </c>
      <c r="T37" s="48">
        <v>32</v>
      </c>
      <c r="U37" s="4">
        <v>48</v>
      </c>
      <c r="V37" s="4">
        <f>T37*S37</f>
        <v>32</v>
      </c>
      <c r="W37" s="4">
        <f>U37*S37</f>
        <v>48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52">
        <v>0.66666666666666663</v>
      </c>
      <c r="I38" s="43">
        <v>0.6875</v>
      </c>
      <c r="J38" s="4">
        <v>30</v>
      </c>
      <c r="K38" s="43"/>
      <c r="L38" s="52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53">
        <v>0.5</v>
      </c>
      <c r="T38" s="48">
        <v>32</v>
      </c>
      <c r="U38" s="4">
        <v>48</v>
      </c>
      <c r="V38" s="4">
        <f>T38*S38</f>
        <v>16</v>
      </c>
      <c r="W38" s="4">
        <f>U38*S38</f>
        <v>24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56">
        <v>0.70833333333333337</v>
      </c>
      <c r="J39" s="4">
        <v>30</v>
      </c>
      <c r="K39" s="43"/>
      <c r="L39" s="45">
        <v>0.6875</v>
      </c>
      <c r="M39" s="56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50">
        <v>1</v>
      </c>
      <c r="T39" s="48">
        <v>32</v>
      </c>
      <c r="U39" s="4">
        <v>48</v>
      </c>
      <c r="V39" s="4">
        <f>T39*S39</f>
        <v>32</v>
      </c>
      <c r="W39" s="4">
        <f>U39*S39</f>
        <v>48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52">
        <v>0.54166666666666663</v>
      </c>
      <c r="I40" s="43">
        <v>0.5625</v>
      </c>
      <c r="J40" s="4">
        <v>30</v>
      </c>
      <c r="K40" s="43"/>
      <c r="L40" s="52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53">
        <v>0.5</v>
      </c>
      <c r="T40" s="48">
        <v>32</v>
      </c>
      <c r="U40" s="4">
        <v>48</v>
      </c>
      <c r="V40" s="4">
        <f>T40*S40</f>
        <v>16</v>
      </c>
      <c r="W40" s="4">
        <f>U40*S40</f>
        <v>24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56">
        <v>0.60416666666666663</v>
      </c>
      <c r="J41" s="4">
        <v>15</v>
      </c>
      <c r="K41" s="43"/>
      <c r="L41" s="45">
        <v>0.59375</v>
      </c>
      <c r="M41" s="56">
        <v>0.60416666666666663</v>
      </c>
      <c r="N41" s="4">
        <v>15</v>
      </c>
      <c r="O41" s="6" t="s">
        <v>26</v>
      </c>
      <c r="P41" s="4" t="s">
        <v>372</v>
      </c>
      <c r="Q41" s="10" t="s">
        <v>809</v>
      </c>
      <c r="R41" s="4"/>
      <c r="S41" s="50">
        <v>1.5</v>
      </c>
      <c r="T41" s="48">
        <v>32</v>
      </c>
      <c r="U41" s="4">
        <v>48</v>
      </c>
      <c r="V41" s="4">
        <f>T41*S41</f>
        <v>48</v>
      </c>
      <c r="W41" s="4">
        <f>U41*S41</f>
        <v>72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52">
        <v>0.60416666666666663</v>
      </c>
      <c r="I42" s="56">
        <v>0.625</v>
      </c>
      <c r="J42" s="4">
        <v>30</v>
      </c>
      <c r="K42" s="43"/>
      <c r="L42" s="52">
        <v>0.60416666666666663</v>
      </c>
      <c r="M42" s="56">
        <v>0.625</v>
      </c>
      <c r="N42" s="4">
        <v>30</v>
      </c>
      <c r="O42" s="4" t="s">
        <v>291</v>
      </c>
      <c r="P42" s="4" t="s">
        <v>681</v>
      </c>
      <c r="Q42" s="4"/>
      <c r="R42" s="4"/>
      <c r="S42" s="50">
        <v>1</v>
      </c>
      <c r="T42" s="48">
        <v>32</v>
      </c>
      <c r="U42" s="4">
        <v>48</v>
      </c>
      <c r="V42" s="4">
        <f>T42*S42</f>
        <v>32</v>
      </c>
      <c r="W42" s="4">
        <f>U42*S42</f>
        <v>48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52">
        <v>0.60069444444444442</v>
      </c>
      <c r="I43" s="56">
        <v>0.64236111111111105</v>
      </c>
      <c r="J43" s="4">
        <v>60</v>
      </c>
      <c r="K43" s="43"/>
      <c r="L43" s="52">
        <v>0.60069444444444442</v>
      </c>
      <c r="M43" s="56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50">
        <v>1</v>
      </c>
      <c r="T43" s="48">
        <v>32</v>
      </c>
      <c r="U43" s="4">
        <v>48</v>
      </c>
      <c r="V43" s="4">
        <f>T43*S43</f>
        <v>32</v>
      </c>
      <c r="W43" s="4">
        <f>U43*S43</f>
        <v>48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52">
        <v>0.64583333333333337</v>
      </c>
      <c r="I44" s="56">
        <v>0.6875</v>
      </c>
      <c r="J44" s="4">
        <v>60</v>
      </c>
      <c r="K44" s="43"/>
      <c r="L44" s="52">
        <v>0.64583333333333337</v>
      </c>
      <c r="M44" s="56">
        <v>0.6875</v>
      </c>
      <c r="N44" s="4">
        <v>60</v>
      </c>
      <c r="O44" s="6" t="s">
        <v>120</v>
      </c>
      <c r="P44" s="4" t="s">
        <v>187</v>
      </c>
      <c r="Q44" s="4"/>
      <c r="R44" s="4"/>
      <c r="S44" s="50">
        <v>1</v>
      </c>
      <c r="T44" s="48">
        <v>32</v>
      </c>
      <c r="U44" s="4">
        <v>48</v>
      </c>
      <c r="V44" s="4">
        <f>T44*S44</f>
        <v>32</v>
      </c>
      <c r="W44" s="4">
        <f>U44*S44</f>
        <v>48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52">
        <v>0.41666666666666669</v>
      </c>
      <c r="I45" s="56">
        <v>0.4375</v>
      </c>
      <c r="J45" s="4">
        <v>30</v>
      </c>
      <c r="K45" s="43"/>
      <c r="L45" s="52">
        <v>0.41666666666666669</v>
      </c>
      <c r="M45" s="56">
        <v>0.4375</v>
      </c>
      <c r="N45" s="4">
        <v>30</v>
      </c>
      <c r="O45" s="6" t="s">
        <v>146</v>
      </c>
      <c r="P45" s="4"/>
      <c r="Q45" s="4"/>
      <c r="R45" s="4"/>
      <c r="S45" s="50">
        <v>1</v>
      </c>
      <c r="T45" s="48">
        <v>27</v>
      </c>
      <c r="U45" s="4">
        <v>48</v>
      </c>
      <c r="V45" s="4">
        <f>T45*S45</f>
        <v>27</v>
      </c>
      <c r="W45" s="4">
        <f>U45*S45</f>
        <v>48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52">
        <v>0.3125</v>
      </c>
      <c r="I46" s="43">
        <v>0.32291666666666669</v>
      </c>
      <c r="J46" s="4">
        <v>15</v>
      </c>
      <c r="K46" s="43"/>
      <c r="L46" s="52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53">
        <v>0.25</v>
      </c>
      <c r="T46" s="48">
        <v>27</v>
      </c>
      <c r="U46" s="4">
        <v>48</v>
      </c>
      <c r="V46" s="4">
        <f>T46*S46</f>
        <v>6.75</v>
      </c>
      <c r="W46" s="4">
        <f>U46*S46</f>
        <v>12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53">
        <v>329</v>
      </c>
      <c r="T47" s="48">
        <v>27</v>
      </c>
      <c r="U47" s="4">
        <v>48</v>
      </c>
      <c r="V47" s="4">
        <f>T47*S47</f>
        <v>8883</v>
      </c>
      <c r="W47" s="4">
        <f>U47*S47</f>
        <v>15792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56">
        <v>0.38541666666666669</v>
      </c>
      <c r="J48" s="4">
        <v>15</v>
      </c>
      <c r="K48" s="43"/>
      <c r="L48" s="43">
        <v>0.375</v>
      </c>
      <c r="M48" s="56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50">
        <v>1.75</v>
      </c>
      <c r="T48" s="48">
        <v>27</v>
      </c>
      <c r="U48" s="4">
        <v>48</v>
      </c>
      <c r="V48" s="4">
        <f>T48*S48</f>
        <v>47.25</v>
      </c>
      <c r="W48" s="4">
        <f>U48*S48</f>
        <v>84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52">
        <v>0.33333333333333331</v>
      </c>
      <c r="I49" s="56">
        <v>0.41666666666666663</v>
      </c>
      <c r="J49" s="4">
        <v>120</v>
      </c>
      <c r="K49" s="43"/>
      <c r="L49" s="52">
        <v>0.33333333333333331</v>
      </c>
      <c r="M49" s="56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50">
        <v>2</v>
      </c>
      <c r="T49" s="48">
        <v>27</v>
      </c>
      <c r="U49" s="4">
        <v>48</v>
      </c>
      <c r="V49" s="4">
        <f>T49*S49</f>
        <v>54</v>
      </c>
      <c r="W49" s="4">
        <f>U49*S49</f>
        <v>96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52">
        <v>0.48958333333333331</v>
      </c>
      <c r="I50" s="43">
        <v>0.57291666666666663</v>
      </c>
      <c r="J50" s="4">
        <v>120</v>
      </c>
      <c r="K50" s="43"/>
      <c r="L50" s="52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53">
        <v>2</v>
      </c>
      <c r="T50" s="48">
        <v>30</v>
      </c>
      <c r="U50" s="4">
        <v>48</v>
      </c>
      <c r="V50" s="4">
        <f>T50*S50</f>
        <v>60</v>
      </c>
      <c r="W50" s="4">
        <f>U50*S50</f>
        <v>96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56">
        <v>0.66666666666666663</v>
      </c>
      <c r="J51" s="4">
        <v>150</v>
      </c>
      <c r="K51" s="43"/>
      <c r="L51" s="45">
        <v>0.5625</v>
      </c>
      <c r="M51" s="56">
        <v>0.66666666666666663</v>
      </c>
      <c r="N51" s="4">
        <v>150</v>
      </c>
      <c r="O51" s="6" t="s">
        <v>115</v>
      </c>
      <c r="P51" s="4" t="s">
        <v>116</v>
      </c>
      <c r="Q51" s="10" t="s">
        <v>811</v>
      </c>
      <c r="R51" s="4"/>
      <c r="S51" s="50">
        <v>4.25</v>
      </c>
      <c r="T51" s="48">
        <v>30</v>
      </c>
      <c r="U51" s="4">
        <v>48</v>
      </c>
      <c r="V51" s="4">
        <f>T51*S51</f>
        <v>127.5</v>
      </c>
      <c r="W51" s="4">
        <f>U51*S51</f>
        <v>204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52">
        <v>0.58333333333333337</v>
      </c>
      <c r="I52" s="56">
        <v>0.60416666666666674</v>
      </c>
      <c r="J52" s="4">
        <v>30</v>
      </c>
      <c r="K52" s="43"/>
      <c r="L52" s="52">
        <v>0.58333333333333337</v>
      </c>
      <c r="M52" s="56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50">
        <v>1</v>
      </c>
      <c r="T52" s="48">
        <v>30</v>
      </c>
      <c r="U52" s="4">
        <v>48</v>
      </c>
      <c r="V52" s="4">
        <f>T52*S52</f>
        <v>30</v>
      </c>
      <c r="W52" s="4">
        <f>U52*S52</f>
        <v>48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52">
        <v>0.58333333333333337</v>
      </c>
      <c r="I53" s="56">
        <v>0.60416666666666663</v>
      </c>
      <c r="J53" s="4">
        <v>30</v>
      </c>
      <c r="K53" s="43"/>
      <c r="L53" s="52">
        <v>0.58333333333333337</v>
      </c>
      <c r="M53" s="56">
        <v>0.60416666666666663</v>
      </c>
      <c r="N53" s="4">
        <v>30</v>
      </c>
      <c r="O53" s="6" t="s">
        <v>378</v>
      </c>
      <c r="P53" s="4"/>
      <c r="Q53" s="4"/>
      <c r="R53" s="4"/>
      <c r="S53" s="50">
        <v>1</v>
      </c>
      <c r="T53" s="48">
        <v>30</v>
      </c>
      <c r="U53" s="4">
        <v>48</v>
      </c>
      <c r="V53" s="4">
        <f>T53*S53</f>
        <v>30</v>
      </c>
      <c r="W53" s="4">
        <f>U53*S53</f>
        <v>48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52">
        <v>0.45833333333333331</v>
      </c>
      <c r="I54" s="43">
        <v>0.47916666666666663</v>
      </c>
      <c r="J54" s="4">
        <v>30</v>
      </c>
      <c r="K54" s="43"/>
      <c r="L54" s="52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53">
        <v>0.5</v>
      </c>
      <c r="T54" s="48">
        <v>30</v>
      </c>
      <c r="U54" s="4">
        <v>48</v>
      </c>
      <c r="V54" s="4">
        <f>T54*S54</f>
        <v>15</v>
      </c>
      <c r="W54" s="4">
        <f>U54*S54</f>
        <v>24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56">
        <v>0.58333333333333337</v>
      </c>
      <c r="J55" s="4">
        <v>90</v>
      </c>
      <c r="K55" s="43"/>
      <c r="L55" s="45">
        <v>0.52083333333333337</v>
      </c>
      <c r="M55" s="56">
        <v>0.58333333333333337</v>
      </c>
      <c r="N55" s="4">
        <v>90</v>
      </c>
      <c r="O55" s="6" t="s">
        <v>26</v>
      </c>
      <c r="P55" s="4" t="s">
        <v>192</v>
      </c>
      <c r="Q55" s="10" t="s">
        <v>809</v>
      </c>
      <c r="R55" s="4"/>
      <c r="S55" s="50">
        <v>3</v>
      </c>
      <c r="T55" s="48">
        <v>30</v>
      </c>
      <c r="U55" s="4">
        <v>48</v>
      </c>
      <c r="V55" s="4">
        <f>T55*S55</f>
        <v>90</v>
      </c>
      <c r="W55" s="4">
        <f>U55*S55</f>
        <v>144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52">
        <v>0.35416666666666669</v>
      </c>
      <c r="I56" s="43">
        <v>0.375</v>
      </c>
      <c r="J56" s="4">
        <v>30</v>
      </c>
      <c r="K56" s="43"/>
      <c r="L56" s="52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53">
        <v>0.5</v>
      </c>
      <c r="T56" s="48">
        <v>30</v>
      </c>
      <c r="U56" s="4">
        <v>48</v>
      </c>
      <c r="V56" s="4">
        <f>T56*S56</f>
        <v>15</v>
      </c>
      <c r="W56" s="4">
        <f>U56*S56</f>
        <v>24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56">
        <v>0.47916666666666669</v>
      </c>
      <c r="J57" s="4">
        <v>90</v>
      </c>
      <c r="K57" s="43"/>
      <c r="L57" s="45">
        <v>0.41666666666666669</v>
      </c>
      <c r="M57" s="56">
        <v>0.47916666666666669</v>
      </c>
      <c r="N57" s="4">
        <v>90</v>
      </c>
      <c r="O57" s="6" t="s">
        <v>26</v>
      </c>
      <c r="P57" s="4" t="s">
        <v>192</v>
      </c>
      <c r="Q57" s="10" t="s">
        <v>809</v>
      </c>
      <c r="R57" s="4"/>
      <c r="S57" s="50">
        <v>3</v>
      </c>
      <c r="T57" s="48">
        <v>30</v>
      </c>
      <c r="U57" s="4">
        <v>48</v>
      </c>
      <c r="V57" s="4">
        <f>T57*S57</f>
        <v>90</v>
      </c>
      <c r="W57" s="4">
        <f>U57*S57</f>
        <v>144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52">
        <v>0.35416666666666669</v>
      </c>
      <c r="I58" s="56">
        <v>0.45833333333333331</v>
      </c>
      <c r="J58" s="4">
        <v>150</v>
      </c>
      <c r="K58" s="43"/>
      <c r="L58" s="52">
        <v>0.35416666666666669</v>
      </c>
      <c r="M58" s="56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50">
        <v>2.5</v>
      </c>
      <c r="T58" s="48">
        <v>30</v>
      </c>
      <c r="U58" s="4">
        <v>48</v>
      </c>
      <c r="V58" s="4">
        <f>T58*S58</f>
        <v>75</v>
      </c>
      <c r="W58" s="4">
        <f>U58*S58</f>
        <v>120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52">
        <v>0.63194444444444442</v>
      </c>
      <c r="I59" s="56">
        <v>0.73611111111111116</v>
      </c>
      <c r="J59" s="4">
        <v>150</v>
      </c>
      <c r="K59" s="43"/>
      <c r="L59" s="52">
        <v>0.63194444444444442</v>
      </c>
      <c r="M59" s="56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50">
        <v>2.5</v>
      </c>
      <c r="T59" s="48">
        <v>30</v>
      </c>
      <c r="U59" s="4">
        <v>48</v>
      </c>
      <c r="V59" s="4">
        <f>T59*S59</f>
        <v>75</v>
      </c>
      <c r="W59" s="4">
        <f>U59*S59</f>
        <v>120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52">
        <v>0.32291666666666669</v>
      </c>
      <c r="I60" s="43">
        <v>0.375</v>
      </c>
      <c r="J60" s="4">
        <v>75</v>
      </c>
      <c r="K60" s="43"/>
      <c r="L60" s="52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53">
        <v>1.25</v>
      </c>
      <c r="T60" s="48">
        <v>30</v>
      </c>
      <c r="U60" s="4">
        <v>48</v>
      </c>
      <c r="V60" s="4">
        <f>T60*S60</f>
        <v>37.5</v>
      </c>
      <c r="W60" s="4">
        <f>U60*S60</f>
        <v>60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10" t="s">
        <v>811</v>
      </c>
      <c r="R61" s="4"/>
      <c r="S61" s="53">
        <v>1</v>
      </c>
      <c r="T61" s="48">
        <v>30</v>
      </c>
      <c r="U61" s="4">
        <v>48</v>
      </c>
      <c r="V61" s="4">
        <f>T61*S61</f>
        <v>30</v>
      </c>
      <c r="W61" s="4">
        <f>U61*S61</f>
        <v>48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53">
        <v>0.5</v>
      </c>
      <c r="T62" s="48">
        <v>30</v>
      </c>
      <c r="U62" s="4">
        <v>48</v>
      </c>
      <c r="V62" s="4">
        <f>T62*S62</f>
        <v>15</v>
      </c>
      <c r="W62" s="4">
        <f>U62*S62</f>
        <v>24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56">
        <v>0.47222222222222221</v>
      </c>
      <c r="J63" s="4">
        <v>20</v>
      </c>
      <c r="K63" s="43"/>
      <c r="L63" s="43">
        <v>0.45833333333333331</v>
      </c>
      <c r="M63" s="56">
        <v>0.47222222222222221</v>
      </c>
      <c r="N63" s="4">
        <v>20</v>
      </c>
      <c r="O63" s="4" t="s">
        <v>181</v>
      </c>
      <c r="P63" s="4" t="s">
        <v>239</v>
      </c>
      <c r="Q63" s="10" t="s">
        <v>809</v>
      </c>
      <c r="R63" s="4"/>
      <c r="S63" s="50">
        <v>3.75</v>
      </c>
      <c r="T63" s="48">
        <v>30</v>
      </c>
      <c r="U63" s="4">
        <v>48</v>
      </c>
      <c r="V63" s="4">
        <f>T63*S63</f>
        <v>112.5</v>
      </c>
      <c r="W63" s="4">
        <f>U63*S63</f>
        <v>180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52">
        <v>0.45833333333333331</v>
      </c>
      <c r="I64" s="43">
        <v>0.54166666666666663</v>
      </c>
      <c r="J64" s="4">
        <v>120</v>
      </c>
      <c r="K64" s="43"/>
      <c r="L64" s="52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53">
        <v>2</v>
      </c>
      <c r="T64" s="48">
        <v>30</v>
      </c>
      <c r="U64" s="4">
        <v>48</v>
      </c>
      <c r="V64" s="4">
        <f>T64*S64</f>
        <v>60</v>
      </c>
      <c r="W64" s="4">
        <f>U64*S64</f>
        <v>96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56">
        <v>0.54166666666666663</v>
      </c>
      <c r="J65" s="4">
        <v>60</v>
      </c>
      <c r="K65" s="43"/>
      <c r="L65" s="43">
        <v>0.5</v>
      </c>
      <c r="M65" s="56">
        <v>0.54166666666666663</v>
      </c>
      <c r="N65" s="4">
        <v>60</v>
      </c>
      <c r="O65" s="4" t="s">
        <v>26</v>
      </c>
      <c r="P65" s="4" t="s">
        <v>596</v>
      </c>
      <c r="Q65" s="10" t="s">
        <v>811</v>
      </c>
      <c r="R65" s="4"/>
      <c r="S65" s="50">
        <v>2</v>
      </c>
      <c r="T65" s="48">
        <v>30</v>
      </c>
      <c r="U65" s="4">
        <v>48</v>
      </c>
      <c r="V65" s="4">
        <f>T65*S65</f>
        <v>60</v>
      </c>
      <c r="W65" s="4">
        <f>U65*S65</f>
        <v>96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52">
        <v>0.52083333333333337</v>
      </c>
      <c r="I66" s="56">
        <v>0.59027777777777779</v>
      </c>
      <c r="J66" s="4">
        <v>100</v>
      </c>
      <c r="K66" s="43"/>
      <c r="L66" s="52">
        <v>0.52083333333333337</v>
      </c>
      <c r="M66" s="56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50">
        <v>1.75</v>
      </c>
      <c r="T66" s="48">
        <v>40</v>
      </c>
      <c r="U66" s="4">
        <v>48</v>
      </c>
      <c r="V66" s="4">
        <f>T66*S66</f>
        <v>70</v>
      </c>
      <c r="W66" s="4">
        <f>U66*S66</f>
        <v>84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52">
        <v>0.4375</v>
      </c>
      <c r="I67" s="56">
        <v>0.46527777777777779</v>
      </c>
      <c r="J67" s="4">
        <v>40</v>
      </c>
      <c r="K67" s="43"/>
      <c r="L67" s="52">
        <v>0.4375</v>
      </c>
      <c r="M67" s="56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50">
        <v>1</v>
      </c>
      <c r="T67" s="48">
        <v>40</v>
      </c>
      <c r="U67" s="4">
        <v>48</v>
      </c>
      <c r="V67" s="4">
        <f>T67*S67</f>
        <v>40</v>
      </c>
      <c r="W67" s="4">
        <f>U67*S67</f>
        <v>48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52">
        <v>0.625</v>
      </c>
      <c r="I68" s="43">
        <v>0.64583333333333337</v>
      </c>
      <c r="J68" s="4">
        <v>30</v>
      </c>
      <c r="K68" s="43"/>
      <c r="L68" s="52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53">
        <v>0.5</v>
      </c>
      <c r="T68" s="48">
        <v>40</v>
      </c>
      <c r="U68" s="4">
        <v>48</v>
      </c>
      <c r="V68" s="4">
        <f>T68*S68</f>
        <v>20</v>
      </c>
      <c r="W68" s="4">
        <f>U68*S68</f>
        <v>24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56">
        <v>0.75</v>
      </c>
      <c r="J69" s="4">
        <v>90</v>
      </c>
      <c r="K69" s="43"/>
      <c r="L69" s="45">
        <v>0.6875</v>
      </c>
      <c r="M69" s="56">
        <v>0.75</v>
      </c>
      <c r="N69" s="4">
        <v>90</v>
      </c>
      <c r="O69" s="6" t="s">
        <v>323</v>
      </c>
      <c r="P69" s="4" t="s">
        <v>772</v>
      </c>
      <c r="Q69" s="10" t="s">
        <v>809</v>
      </c>
      <c r="R69" s="4"/>
      <c r="S69" s="50">
        <v>3</v>
      </c>
      <c r="T69" s="48">
        <v>40</v>
      </c>
      <c r="U69" s="4">
        <v>48</v>
      </c>
      <c r="V69" s="4">
        <f>T69*S69</f>
        <v>120</v>
      </c>
      <c r="W69" s="4">
        <f>U69*S69</f>
        <v>144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52">
        <v>0.50694444444444442</v>
      </c>
      <c r="I70" s="43">
        <v>0.61111111111111105</v>
      </c>
      <c r="J70" s="4">
        <v>150</v>
      </c>
      <c r="K70" s="43"/>
      <c r="L70" s="52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53">
        <v>2.5</v>
      </c>
      <c r="T70" s="48">
        <v>25</v>
      </c>
      <c r="U70" s="4">
        <v>48</v>
      </c>
      <c r="V70" s="4">
        <f>T70*S70</f>
        <v>62.5</v>
      </c>
      <c r="W70" s="4">
        <f>U70*S70</f>
        <v>120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53">
        <v>0.25</v>
      </c>
      <c r="T71" s="48">
        <v>25</v>
      </c>
      <c r="U71" s="4">
        <v>48</v>
      </c>
      <c r="V71" s="4">
        <f>T71*S71</f>
        <v>6.25</v>
      </c>
      <c r="W71" s="4">
        <f>U71*S71</f>
        <v>12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56">
        <v>0.64583333333333337</v>
      </c>
      <c r="J72" s="4">
        <v>40</v>
      </c>
      <c r="K72" s="43"/>
      <c r="L72" s="45">
        <v>0.61805555555555558</v>
      </c>
      <c r="M72" s="56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50">
        <v>3.5</v>
      </c>
      <c r="T72" s="48">
        <v>25</v>
      </c>
      <c r="U72" s="4">
        <v>48</v>
      </c>
      <c r="V72" s="4">
        <f>T72*S72</f>
        <v>87.5</v>
      </c>
      <c r="W72" s="4">
        <f>U72*S72</f>
        <v>168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52">
        <v>0.41666666666666669</v>
      </c>
      <c r="I73" s="43">
        <v>0.45833333333333337</v>
      </c>
      <c r="J73" s="4">
        <v>60</v>
      </c>
      <c r="K73" s="43"/>
      <c r="L73" s="52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53">
        <v>1</v>
      </c>
      <c r="T73" s="48">
        <v>25</v>
      </c>
      <c r="U73" s="4">
        <v>48</v>
      </c>
      <c r="V73" s="4">
        <f>T73*S73</f>
        <v>25</v>
      </c>
      <c r="W73" s="4">
        <f>U73*S73</f>
        <v>48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56">
        <v>0.5</v>
      </c>
      <c r="J74" s="4">
        <v>60</v>
      </c>
      <c r="K74" s="43"/>
      <c r="L74" s="45">
        <v>0.45833333333333331</v>
      </c>
      <c r="M74" s="56">
        <v>0.5</v>
      </c>
      <c r="N74" s="4">
        <v>60</v>
      </c>
      <c r="O74" s="6" t="s">
        <v>120</v>
      </c>
      <c r="P74" s="4" t="s">
        <v>187</v>
      </c>
      <c r="Q74" s="4"/>
      <c r="R74" s="4"/>
      <c r="S74" s="50">
        <v>2</v>
      </c>
      <c r="T74" s="48">
        <v>25</v>
      </c>
      <c r="U74" s="4">
        <v>48</v>
      </c>
      <c r="V74" s="4">
        <f>T74*S74</f>
        <v>50</v>
      </c>
      <c r="W74" s="4">
        <f>U74*S74</f>
        <v>96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52">
        <v>0.41666666666666669</v>
      </c>
      <c r="I75" s="43">
        <v>0.45833333333333331</v>
      </c>
      <c r="J75" s="4">
        <v>60</v>
      </c>
      <c r="K75" s="43"/>
      <c r="L75" s="52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53">
        <v>1</v>
      </c>
      <c r="T75" s="48">
        <v>25</v>
      </c>
      <c r="U75" s="4">
        <v>48</v>
      </c>
      <c r="V75" s="4">
        <f>T75*S75</f>
        <v>25</v>
      </c>
      <c r="W75" s="4">
        <f>U75*S75</f>
        <v>48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56">
        <v>0.47916666666666669</v>
      </c>
      <c r="J76" s="4">
        <v>30</v>
      </c>
      <c r="K76" s="43"/>
      <c r="L76" s="43">
        <v>0.45833333333333331</v>
      </c>
      <c r="M76" s="56">
        <v>0.47916666666666669</v>
      </c>
      <c r="N76" s="4">
        <v>30</v>
      </c>
      <c r="O76" s="6" t="s">
        <v>146</v>
      </c>
      <c r="P76" s="4"/>
      <c r="Q76" s="4"/>
      <c r="R76" s="4"/>
      <c r="S76" s="50">
        <v>1.5</v>
      </c>
      <c r="T76" s="48">
        <v>25</v>
      </c>
      <c r="U76" s="4">
        <v>48</v>
      </c>
      <c r="V76" s="4">
        <f>T76*S76</f>
        <v>37.5</v>
      </c>
      <c r="W76" s="4">
        <f>U76*S76</f>
        <v>72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52">
        <v>0.5</v>
      </c>
      <c r="I77" s="56">
        <v>0.54166666666666663</v>
      </c>
      <c r="J77" s="4">
        <v>60</v>
      </c>
      <c r="K77" s="43"/>
      <c r="L77" s="52">
        <v>0.5</v>
      </c>
      <c r="M77" s="56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50">
        <v>1</v>
      </c>
      <c r="T77" s="48">
        <v>25</v>
      </c>
      <c r="U77" s="4">
        <v>48</v>
      </c>
      <c r="V77" s="4">
        <f>T77*S77</f>
        <v>25</v>
      </c>
      <c r="W77" s="4">
        <f>U77*S77</f>
        <v>48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52">
        <v>0.5625</v>
      </c>
      <c r="I78" s="43">
        <v>0.57291666666666663</v>
      </c>
      <c r="J78" s="4">
        <v>15</v>
      </c>
      <c r="K78" s="43"/>
      <c r="L78" s="52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53">
        <v>0.25</v>
      </c>
      <c r="T78" s="48">
        <v>25</v>
      </c>
      <c r="U78" s="4">
        <v>48</v>
      </c>
      <c r="V78" s="4">
        <f>T78*S78</f>
        <v>6.25</v>
      </c>
      <c r="W78" s="4">
        <f>U78*S78</f>
        <v>12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53">
        <v>340.25</v>
      </c>
      <c r="T79" s="48">
        <v>25</v>
      </c>
      <c r="U79" s="4">
        <v>48</v>
      </c>
      <c r="V79" s="4">
        <f>T79*S79</f>
        <v>8506.25</v>
      </c>
      <c r="W79" s="4">
        <f>U79*S79</f>
        <v>16332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56">
        <v>0.625</v>
      </c>
      <c r="J80" s="4">
        <v>40</v>
      </c>
      <c r="K80" s="43"/>
      <c r="L80" s="43">
        <v>0.59722222222222221</v>
      </c>
      <c r="M80" s="56">
        <v>0.625</v>
      </c>
      <c r="N80" s="4">
        <v>40</v>
      </c>
      <c r="O80" s="6" t="s">
        <v>74</v>
      </c>
      <c r="P80" s="4" t="s">
        <v>91</v>
      </c>
      <c r="Q80" s="4"/>
      <c r="R80" s="4"/>
      <c r="S80" s="50">
        <v>1.5</v>
      </c>
      <c r="T80" s="48">
        <v>25</v>
      </c>
      <c r="U80" s="4">
        <v>48</v>
      </c>
      <c r="V80" s="4">
        <f>T80*S80</f>
        <v>37.5</v>
      </c>
      <c r="W80" s="4">
        <f>U80*S80</f>
        <v>72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52">
        <v>0.5625</v>
      </c>
      <c r="I81" s="43">
        <v>0.57291666666666663</v>
      </c>
      <c r="J81" s="4">
        <v>15</v>
      </c>
      <c r="K81" s="43"/>
      <c r="L81" s="52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53">
        <v>0.25</v>
      </c>
      <c r="T81" s="48">
        <v>25</v>
      </c>
      <c r="U81" s="4">
        <v>48</v>
      </c>
      <c r="V81" s="4">
        <f>T81*S81</f>
        <v>6.25</v>
      </c>
      <c r="W81" s="4">
        <f>U81*S81</f>
        <v>12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56">
        <v>0.625</v>
      </c>
      <c r="J82" s="4">
        <v>60</v>
      </c>
      <c r="K82" s="43"/>
      <c r="L82" s="45">
        <v>0.58333333333333337</v>
      </c>
      <c r="M82" s="56">
        <v>0.625</v>
      </c>
      <c r="N82" s="4">
        <v>60</v>
      </c>
      <c r="O82" s="6" t="s">
        <v>156</v>
      </c>
      <c r="P82" s="4" t="s">
        <v>147</v>
      </c>
      <c r="Q82" s="4"/>
      <c r="R82" s="4"/>
      <c r="S82" s="50">
        <v>1.5</v>
      </c>
      <c r="T82" s="48">
        <v>25</v>
      </c>
      <c r="U82" s="4">
        <v>48</v>
      </c>
      <c r="V82" s="4">
        <f>T82*S82</f>
        <v>37.5</v>
      </c>
      <c r="W82" s="4">
        <f>U82*S82</f>
        <v>72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52">
        <v>0.5625</v>
      </c>
      <c r="I83" s="43">
        <v>0.58333333333333337</v>
      </c>
      <c r="J83" s="4">
        <v>30</v>
      </c>
      <c r="K83" s="43"/>
      <c r="L83" s="52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53">
        <v>0.5</v>
      </c>
      <c r="T83" s="48">
        <v>25</v>
      </c>
      <c r="U83" s="4">
        <v>48</v>
      </c>
      <c r="V83" s="4">
        <f>T83*S83</f>
        <v>12.5</v>
      </c>
      <c r="W83" s="4">
        <f>U83*S83</f>
        <v>24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56">
        <v>0.61458333333333337</v>
      </c>
      <c r="J84" s="4">
        <v>45</v>
      </c>
      <c r="K84" s="43"/>
      <c r="L84" s="45">
        <v>0.58333333333333337</v>
      </c>
      <c r="M84" s="56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50">
        <v>1.25</v>
      </c>
      <c r="T84" s="48">
        <v>25</v>
      </c>
      <c r="U84" s="4">
        <v>48</v>
      </c>
      <c r="V84" s="4">
        <f>T84*S84</f>
        <v>31.25</v>
      </c>
      <c r="W84" s="4">
        <f>U84*S84</f>
        <v>60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52">
        <v>0.52777777777777779</v>
      </c>
      <c r="I85" s="56">
        <v>0.63194444444444442</v>
      </c>
      <c r="J85" s="4">
        <v>150</v>
      </c>
      <c r="K85" s="43"/>
      <c r="L85" s="52">
        <v>0.52777777777777779</v>
      </c>
      <c r="M85" s="56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50">
        <v>2.5</v>
      </c>
      <c r="T85" s="48">
        <v>25</v>
      </c>
      <c r="U85" s="4">
        <v>48</v>
      </c>
      <c r="V85" s="4">
        <f>T85*S85</f>
        <v>62.5</v>
      </c>
      <c r="W85" s="4">
        <f>U85*S85</f>
        <v>120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52">
        <v>0.41666666666666669</v>
      </c>
      <c r="I86" s="43">
        <v>0.45833333333333337</v>
      </c>
      <c r="J86" s="4">
        <v>60</v>
      </c>
      <c r="K86" s="43"/>
      <c r="L86" s="52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53">
        <v>1</v>
      </c>
      <c r="T86" s="48">
        <v>28</v>
      </c>
      <c r="U86" s="4">
        <v>48</v>
      </c>
      <c r="V86" s="4">
        <f>T86*S86</f>
        <v>28</v>
      </c>
      <c r="W86" s="4">
        <f>U86*S86</f>
        <v>48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53">
        <v>1</v>
      </c>
      <c r="T87" s="48">
        <v>28</v>
      </c>
      <c r="U87" s="4">
        <v>48</v>
      </c>
      <c r="V87" s="4">
        <f>T87*S87</f>
        <v>28</v>
      </c>
      <c r="W87" s="4">
        <f>U87*S87</f>
        <v>48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10" t="s">
        <v>809</v>
      </c>
      <c r="R88" s="4"/>
      <c r="S88" s="53">
        <v>1057.75</v>
      </c>
      <c r="T88" s="48">
        <v>28</v>
      </c>
      <c r="U88" s="4">
        <v>48</v>
      </c>
      <c r="V88" s="4">
        <f>T88*S88</f>
        <v>29617</v>
      </c>
      <c r="W88" s="4">
        <f>U88*S88</f>
        <v>50772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10" t="s">
        <v>809</v>
      </c>
      <c r="R89" s="4"/>
      <c r="S89" s="53">
        <v>1059.75</v>
      </c>
      <c r="T89" s="48">
        <v>28</v>
      </c>
      <c r="U89" s="4">
        <v>48</v>
      </c>
      <c r="V89" s="4">
        <f>T89*S89</f>
        <v>29673</v>
      </c>
      <c r="W89" s="4">
        <f>U89*S89</f>
        <v>50868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53">
        <v>1</v>
      </c>
      <c r="T90" s="48">
        <v>28</v>
      </c>
      <c r="U90" s="4">
        <v>48</v>
      </c>
      <c r="V90" s="4">
        <f>T90*S90</f>
        <v>28</v>
      </c>
      <c r="W90" s="4">
        <f>U90*S90</f>
        <v>48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53">
        <v>0.5</v>
      </c>
      <c r="T91" s="48">
        <v>28</v>
      </c>
      <c r="U91" s="4">
        <v>48</v>
      </c>
      <c r="V91" s="4">
        <f>T91*S91</f>
        <v>14</v>
      </c>
      <c r="W91" s="4">
        <f>U91*S91</f>
        <v>24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11" t="s">
        <v>811</v>
      </c>
      <c r="R92" s="9"/>
      <c r="S92" s="55">
        <v>0.5</v>
      </c>
      <c r="T92" s="49">
        <v>28</v>
      </c>
      <c r="U92" s="9">
        <v>48</v>
      </c>
      <c r="V92" s="4">
        <f>T92*S92</f>
        <v>14</v>
      </c>
      <c r="W92" s="4">
        <f>U92*S92</f>
        <v>24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56">
        <v>0.70833333333333337</v>
      </c>
      <c r="J93" s="9">
        <v>60</v>
      </c>
      <c r="K93" s="44"/>
      <c r="L93" s="46">
        <v>0.66666666666666663</v>
      </c>
      <c r="M93" s="5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57">
        <v>7</v>
      </c>
      <c r="T93" s="49">
        <v>28</v>
      </c>
      <c r="U93" s="9">
        <v>48</v>
      </c>
      <c r="V93" s="4">
        <f>T93*S93</f>
        <v>196</v>
      </c>
      <c r="W93" s="4">
        <f>U93*S93</f>
        <v>336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52">
        <v>0.36458333333333331</v>
      </c>
      <c r="I94" s="43">
        <v>0.375</v>
      </c>
      <c r="J94" s="4">
        <v>15</v>
      </c>
      <c r="K94" s="43"/>
      <c r="L94" s="52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53">
        <v>0.25</v>
      </c>
      <c r="T94" s="48">
        <v>28</v>
      </c>
      <c r="U94" s="4">
        <v>48</v>
      </c>
      <c r="V94" s="4">
        <f>T94*S94</f>
        <v>7</v>
      </c>
      <c r="W94" s="4">
        <f>U94*S94</f>
        <v>12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56">
        <v>0.41666666666666669</v>
      </c>
      <c r="J95" s="4">
        <v>60</v>
      </c>
      <c r="K95" s="43"/>
      <c r="L95" s="43">
        <v>0.375</v>
      </c>
      <c r="M95" s="56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50">
        <v>1.25</v>
      </c>
      <c r="T95" s="48">
        <v>28</v>
      </c>
      <c r="U95" s="4">
        <v>48</v>
      </c>
      <c r="V95" s="4">
        <f>T95*S95</f>
        <v>35</v>
      </c>
      <c r="W95" s="4">
        <f>U95*S95</f>
        <v>60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52">
        <v>0.38541666666666669</v>
      </c>
      <c r="I96" s="56">
        <v>0.41666666666666669</v>
      </c>
      <c r="J96" s="4">
        <v>45</v>
      </c>
      <c r="K96" s="43"/>
      <c r="L96" s="52">
        <v>0.38541666666666669</v>
      </c>
      <c r="M96" s="56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50">
        <v>1</v>
      </c>
      <c r="T96" s="48">
        <v>28</v>
      </c>
      <c r="U96" s="4">
        <v>48</v>
      </c>
      <c r="V96" s="4">
        <f>T96*S96</f>
        <v>28</v>
      </c>
      <c r="W96" s="4">
        <f>U96*S96</f>
        <v>48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52">
        <v>0.48958333333333331</v>
      </c>
      <c r="I97" s="46">
        <v>0.52083333333333337</v>
      </c>
      <c r="J97" s="9">
        <v>45</v>
      </c>
      <c r="K97" s="44"/>
      <c r="L97" s="52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55">
        <v>0.75</v>
      </c>
      <c r="T97" s="49">
        <v>28</v>
      </c>
      <c r="U97" s="9">
        <v>48</v>
      </c>
      <c r="V97" s="4">
        <f>T97*S97</f>
        <v>21</v>
      </c>
      <c r="W97" s="4">
        <f>U97*S97</f>
        <v>36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11" t="s">
        <v>809</v>
      </c>
      <c r="R98" s="9"/>
      <c r="S98" s="55">
        <v>699</v>
      </c>
      <c r="T98" s="49">
        <v>28</v>
      </c>
      <c r="U98" s="9">
        <v>48</v>
      </c>
      <c r="V98" s="4">
        <f>T98*S98</f>
        <v>19572</v>
      </c>
      <c r="W98" s="4">
        <f>U98*S98</f>
        <v>33552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55">
        <v>1</v>
      </c>
      <c r="T99" s="49">
        <v>28</v>
      </c>
      <c r="U99" s="9">
        <v>48</v>
      </c>
      <c r="V99" s="4">
        <f>T99*S99</f>
        <v>28</v>
      </c>
      <c r="W99" s="4">
        <f>U99*S99</f>
        <v>48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53">
        <v>1</v>
      </c>
      <c r="T100" s="48">
        <v>28</v>
      </c>
      <c r="U100" s="4">
        <v>48</v>
      </c>
      <c r="V100" s="4">
        <f>T100*S100</f>
        <v>28</v>
      </c>
      <c r="W100" s="4">
        <f>U100*S100</f>
        <v>48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56">
        <v>0.65625</v>
      </c>
      <c r="J101" s="4">
        <v>45</v>
      </c>
      <c r="K101" s="43"/>
      <c r="L101" s="43">
        <v>0.625</v>
      </c>
      <c r="M101" s="56">
        <v>0.65625</v>
      </c>
      <c r="N101" s="4">
        <v>45</v>
      </c>
      <c r="O101" s="4" t="s">
        <v>331</v>
      </c>
      <c r="P101" s="4" t="s">
        <v>718</v>
      </c>
      <c r="Q101" s="10" t="s">
        <v>811</v>
      </c>
      <c r="R101" s="4"/>
      <c r="S101" s="50">
        <v>4.25</v>
      </c>
      <c r="T101" s="48">
        <v>28</v>
      </c>
      <c r="U101" s="4">
        <v>48</v>
      </c>
      <c r="V101" s="4">
        <f>T101*S101</f>
        <v>119</v>
      </c>
      <c r="W101" s="4">
        <f>U101*S101</f>
        <v>204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52">
        <v>0.58680555555555558</v>
      </c>
      <c r="I102" s="56">
        <v>0.60763888888888884</v>
      </c>
      <c r="J102" s="4">
        <v>30</v>
      </c>
      <c r="K102" s="43"/>
      <c r="L102" s="52">
        <v>0.58680555555555558</v>
      </c>
      <c r="M102" s="56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50">
        <v>1</v>
      </c>
      <c r="T102" s="48">
        <v>28</v>
      </c>
      <c r="U102" s="4">
        <v>48</v>
      </c>
      <c r="V102" s="4">
        <f>T102*S102</f>
        <v>28</v>
      </c>
      <c r="W102" s="4">
        <f>U102*S102</f>
        <v>48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52">
        <v>0.35416666666666669</v>
      </c>
      <c r="I103" s="43">
        <v>0.375</v>
      </c>
      <c r="J103" s="4">
        <v>30</v>
      </c>
      <c r="K103" s="43"/>
      <c r="L103" s="52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53">
        <v>0.5</v>
      </c>
      <c r="T103" s="48">
        <v>28</v>
      </c>
      <c r="U103" s="4">
        <v>48</v>
      </c>
      <c r="V103" s="4">
        <f>T103*S103</f>
        <v>14</v>
      </c>
      <c r="W103" s="4">
        <f>U103*S103</f>
        <v>24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56">
        <v>0.39583333333333331</v>
      </c>
      <c r="J104" s="4">
        <v>15</v>
      </c>
      <c r="K104" s="43"/>
      <c r="L104" s="43">
        <v>0.38541666666666669</v>
      </c>
      <c r="M104" s="56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50">
        <v>1</v>
      </c>
      <c r="T104" s="48">
        <v>28</v>
      </c>
      <c r="U104" s="4">
        <v>48</v>
      </c>
      <c r="V104" s="4">
        <f>T104*S104</f>
        <v>28</v>
      </c>
      <c r="W104" s="4">
        <f>U104*S104</f>
        <v>48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52">
        <v>0.54166666666666663</v>
      </c>
      <c r="I105" s="43">
        <v>0.58333333333333337</v>
      </c>
      <c r="J105" s="4">
        <v>60</v>
      </c>
      <c r="K105" s="43"/>
      <c r="L105" s="52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53">
        <v>1</v>
      </c>
      <c r="T105" s="48">
        <v>28</v>
      </c>
      <c r="U105" s="4">
        <v>48</v>
      </c>
      <c r="V105" s="4">
        <f>T105*S105</f>
        <v>28</v>
      </c>
      <c r="W105" s="4">
        <f>U105*S105</f>
        <v>48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56">
        <v>0.59375</v>
      </c>
      <c r="J106" s="4">
        <v>15</v>
      </c>
      <c r="K106" s="43"/>
      <c r="L106" s="43">
        <v>0.58333333333333337</v>
      </c>
      <c r="M106" s="56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50">
        <v>1.25</v>
      </c>
      <c r="T106" s="48">
        <v>28</v>
      </c>
      <c r="U106" s="4">
        <v>48</v>
      </c>
      <c r="V106" s="4">
        <f>T106*S106</f>
        <v>35</v>
      </c>
      <c r="W106" s="4">
        <f>U106*S106</f>
        <v>60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52">
        <v>0.66666666666666663</v>
      </c>
      <c r="I107" s="56">
        <v>0.71527777777777779</v>
      </c>
      <c r="J107" s="4">
        <v>70</v>
      </c>
      <c r="K107" s="43"/>
      <c r="L107" s="52">
        <v>0.66666666666666663</v>
      </c>
      <c r="M107" s="56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50">
        <v>1.25</v>
      </c>
      <c r="T107" s="48">
        <v>30</v>
      </c>
      <c r="U107" s="4">
        <v>48</v>
      </c>
      <c r="V107" s="4">
        <f>T107*S107</f>
        <v>37.5</v>
      </c>
      <c r="W107" s="4">
        <f>U107*S107</f>
        <v>60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52">
        <v>0.27083333333333331</v>
      </c>
      <c r="I108" s="56">
        <v>0.39583333333333331</v>
      </c>
      <c r="J108" s="4">
        <v>240</v>
      </c>
      <c r="K108" s="43"/>
      <c r="L108" s="52">
        <v>0.27083333333333331</v>
      </c>
      <c r="M108" s="56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50">
        <v>3</v>
      </c>
      <c r="T108" s="48">
        <v>30</v>
      </c>
      <c r="U108" s="4">
        <v>48</v>
      </c>
      <c r="V108" s="4">
        <f>T108*S108</f>
        <v>90</v>
      </c>
      <c r="W108" s="4">
        <f>U108*S108</f>
        <v>144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52">
        <v>0.52083333333333337</v>
      </c>
      <c r="I109" s="43">
        <v>0.54166666666666663</v>
      </c>
      <c r="J109" s="4">
        <v>30</v>
      </c>
      <c r="K109" s="43"/>
      <c r="L109" s="52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53">
        <v>0.5</v>
      </c>
      <c r="T109" s="48">
        <v>30</v>
      </c>
      <c r="U109" s="4">
        <v>48</v>
      </c>
      <c r="V109" s="4">
        <f>T109*S109</f>
        <v>15</v>
      </c>
      <c r="W109" s="4">
        <f>U109*S109</f>
        <v>24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53">
        <v>1</v>
      </c>
      <c r="T110" s="48">
        <v>30</v>
      </c>
      <c r="U110" s="4">
        <v>48</v>
      </c>
      <c r="V110" s="4">
        <f>T110*S110</f>
        <v>30</v>
      </c>
      <c r="W110" s="4">
        <f>U110*S110</f>
        <v>48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10" t="s">
        <v>811</v>
      </c>
      <c r="R111" s="4"/>
      <c r="S111" s="53">
        <v>0</v>
      </c>
      <c r="T111" s="48">
        <v>30</v>
      </c>
      <c r="U111" s="4">
        <v>48</v>
      </c>
      <c r="V111" s="4">
        <f>T111*S111</f>
        <v>0</v>
      </c>
      <c r="W111" s="4">
        <f>U111*S111</f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56">
        <v>0.60416666666666674</v>
      </c>
      <c r="J112" s="4">
        <v>30</v>
      </c>
      <c r="K112" s="43"/>
      <c r="L112" s="43">
        <v>0.58333333333333337</v>
      </c>
      <c r="M112" s="56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50">
        <v>2</v>
      </c>
      <c r="T112" s="48">
        <v>30</v>
      </c>
      <c r="U112" s="4">
        <v>48</v>
      </c>
      <c r="V112" s="4">
        <f>T112*S112</f>
        <v>60</v>
      </c>
      <c r="W112" s="4">
        <f>U112*S112</f>
        <v>96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52">
        <v>0.625</v>
      </c>
      <c r="I113" s="56">
        <v>0.64583333333333337</v>
      </c>
      <c r="J113" s="4">
        <v>30</v>
      </c>
      <c r="K113" s="43"/>
      <c r="L113" s="52">
        <v>0.625</v>
      </c>
      <c r="M113" s="56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50">
        <v>1</v>
      </c>
      <c r="T113" s="48">
        <v>30</v>
      </c>
      <c r="U113" s="4">
        <v>48</v>
      </c>
      <c r="V113" s="4">
        <f>T113*S113</f>
        <v>30</v>
      </c>
      <c r="W113" s="4">
        <f>U113*S113</f>
        <v>48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52">
        <v>0.61111111111111105</v>
      </c>
      <c r="I114" s="43">
        <v>0.64583333333333326</v>
      </c>
      <c r="J114" s="4">
        <v>50</v>
      </c>
      <c r="K114" s="43"/>
      <c r="L114" s="52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53">
        <v>1</v>
      </c>
      <c r="T114" s="48">
        <v>33</v>
      </c>
      <c r="U114" s="4">
        <v>48</v>
      </c>
      <c r="V114" s="4">
        <f>T114*S114</f>
        <v>33</v>
      </c>
      <c r="W114" s="4">
        <f>U114*S114</f>
        <v>48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56">
        <v>0.6875</v>
      </c>
      <c r="J115" s="4">
        <v>60</v>
      </c>
      <c r="K115" s="43"/>
      <c r="L115" s="45">
        <v>0.64583333333333337</v>
      </c>
      <c r="M115" s="56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50">
        <v>2</v>
      </c>
      <c r="T115" s="48">
        <v>33</v>
      </c>
      <c r="U115" s="4">
        <v>48</v>
      </c>
      <c r="V115" s="4">
        <f>T115*S115</f>
        <v>66</v>
      </c>
      <c r="W115" s="4">
        <f>U115*S115</f>
        <v>96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52">
        <v>0.5625</v>
      </c>
      <c r="I116" s="43">
        <v>0.60416666666666663</v>
      </c>
      <c r="J116" s="4">
        <v>60</v>
      </c>
      <c r="K116" s="43"/>
      <c r="L116" s="52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53">
        <v>1</v>
      </c>
      <c r="T116" s="48">
        <v>33</v>
      </c>
      <c r="U116" s="4">
        <v>48</v>
      </c>
      <c r="V116" s="4">
        <f>T116*S116</f>
        <v>33</v>
      </c>
      <c r="W116" s="4">
        <f>U116*S116</f>
        <v>48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56">
        <v>0.70833333333333326</v>
      </c>
      <c r="J117" s="4">
        <v>150</v>
      </c>
      <c r="K117" s="43"/>
      <c r="L117" s="43">
        <v>0.60416666666666663</v>
      </c>
      <c r="M117" s="56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50">
        <v>3.5</v>
      </c>
      <c r="T117" s="48">
        <v>33</v>
      </c>
      <c r="U117" s="4">
        <v>48</v>
      </c>
      <c r="V117" s="4">
        <f>T117*S117</f>
        <v>115.5</v>
      </c>
      <c r="W117" s="4">
        <f>U117*S117</f>
        <v>168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52">
        <v>0.41666666666666669</v>
      </c>
      <c r="I118" s="56">
        <v>0.44444444444444448</v>
      </c>
      <c r="J118" s="4">
        <v>40</v>
      </c>
      <c r="K118" s="43"/>
      <c r="L118" s="52">
        <v>0.41666666666666669</v>
      </c>
      <c r="M118" s="56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50">
        <v>1</v>
      </c>
      <c r="T118" s="48">
        <v>33</v>
      </c>
      <c r="U118" s="4">
        <v>48</v>
      </c>
      <c r="V118" s="4">
        <f>T118*S118</f>
        <v>33</v>
      </c>
      <c r="W118" s="4">
        <f>U118*S118</f>
        <v>48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52">
        <v>0.43055555555555558</v>
      </c>
      <c r="I119" s="56">
        <v>0.45833333333333337</v>
      </c>
      <c r="J119" s="4">
        <v>40</v>
      </c>
      <c r="K119" s="43"/>
      <c r="L119" s="52">
        <v>0.43055555555555558</v>
      </c>
      <c r="M119" s="56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50">
        <v>1</v>
      </c>
      <c r="T119" s="48">
        <v>33</v>
      </c>
      <c r="U119" s="4">
        <v>48</v>
      </c>
      <c r="V119" s="4">
        <f>T119*S119</f>
        <v>33</v>
      </c>
      <c r="W119" s="4">
        <f>U119*S119</f>
        <v>48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52">
        <v>0.66666666666666663</v>
      </c>
      <c r="I120" s="43">
        <v>0.6875</v>
      </c>
      <c r="J120" s="4">
        <v>30</v>
      </c>
      <c r="K120" s="43"/>
      <c r="L120" s="52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53">
        <v>0.5</v>
      </c>
      <c r="T120" s="48">
        <v>32</v>
      </c>
      <c r="U120" s="4">
        <v>48</v>
      </c>
      <c r="V120" s="4">
        <f>T120*S120</f>
        <v>16</v>
      </c>
      <c r="W120" s="4">
        <f>U120*S120</f>
        <v>24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56">
        <v>0.70833333333333337</v>
      </c>
      <c r="J121" s="4">
        <v>30</v>
      </c>
      <c r="K121" s="43"/>
      <c r="L121" s="45">
        <v>0.6875</v>
      </c>
      <c r="M121" s="56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50">
        <v>1</v>
      </c>
      <c r="T121" s="48">
        <v>32</v>
      </c>
      <c r="U121" s="4">
        <v>48</v>
      </c>
      <c r="V121" s="4">
        <f>T121*S121</f>
        <v>32</v>
      </c>
      <c r="W121" s="4">
        <f>U121*S121</f>
        <v>48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52">
        <v>0.61458333333333337</v>
      </c>
      <c r="I122" s="43">
        <v>0.65625</v>
      </c>
      <c r="J122" s="4">
        <v>60</v>
      </c>
      <c r="K122" s="43"/>
      <c r="L122" s="52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53">
        <v>1</v>
      </c>
      <c r="T122" s="48">
        <v>40</v>
      </c>
      <c r="U122" s="4">
        <v>48</v>
      </c>
      <c r="V122" s="4">
        <f>T122*S122</f>
        <v>40</v>
      </c>
      <c r="W122" s="4">
        <f>U122*S122</f>
        <v>48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56">
        <v>0.67708333333333337</v>
      </c>
      <c r="J123" s="4">
        <v>30</v>
      </c>
      <c r="K123" s="43"/>
      <c r="L123" s="45">
        <v>0.65625</v>
      </c>
      <c r="M123" s="56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50">
        <v>1.5</v>
      </c>
      <c r="T123" s="48">
        <v>40</v>
      </c>
      <c r="U123" s="4">
        <v>48</v>
      </c>
      <c r="V123" s="4">
        <f>T123*S123</f>
        <v>60</v>
      </c>
      <c r="W123" s="4">
        <f>U123*S123</f>
        <v>72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52">
        <v>0.41666666666666669</v>
      </c>
      <c r="I124" s="43">
        <v>0.47916666666666669</v>
      </c>
      <c r="J124" s="4">
        <v>90</v>
      </c>
      <c r="K124" s="43"/>
      <c r="L124" s="52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53">
        <v>1.5</v>
      </c>
      <c r="T124" s="48">
        <v>37</v>
      </c>
      <c r="U124" s="4">
        <v>48</v>
      </c>
      <c r="V124" s="4">
        <f>T124*S124</f>
        <v>55.5</v>
      </c>
      <c r="W124" s="4">
        <f>U124*S124</f>
        <v>72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53">
        <v>1.5</v>
      </c>
      <c r="T125" s="48">
        <v>37</v>
      </c>
      <c r="U125" s="4">
        <v>48</v>
      </c>
      <c r="V125" s="4">
        <f>T125*S125</f>
        <v>55.5</v>
      </c>
      <c r="W125" s="4">
        <f>U125*S125</f>
        <v>72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56">
        <v>0.5625</v>
      </c>
      <c r="J126" s="4">
        <v>15</v>
      </c>
      <c r="K126" s="43"/>
      <c r="L126" s="45">
        <v>0.55208333333333337</v>
      </c>
      <c r="M126" s="56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50">
        <v>3.5</v>
      </c>
      <c r="T126" s="48">
        <v>37</v>
      </c>
      <c r="U126" s="4">
        <v>48</v>
      </c>
      <c r="V126" s="4">
        <f>T126*S126</f>
        <v>129.5</v>
      </c>
      <c r="W126" s="4">
        <f>U126*S126</f>
        <v>168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52">
        <v>0.58333333333333337</v>
      </c>
      <c r="I127" s="43">
        <v>0.625</v>
      </c>
      <c r="J127" s="4">
        <v>60</v>
      </c>
      <c r="K127" s="43"/>
      <c r="L127" s="52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53">
        <v>1</v>
      </c>
      <c r="T127" s="48">
        <v>37</v>
      </c>
      <c r="U127" s="4">
        <v>48</v>
      </c>
      <c r="V127" s="4">
        <f>T127*S127</f>
        <v>37</v>
      </c>
      <c r="W127" s="4">
        <f>U127*S127</f>
        <v>48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56">
        <v>0.65625</v>
      </c>
      <c r="J128" s="4">
        <v>45</v>
      </c>
      <c r="K128" s="43"/>
      <c r="L128" s="45">
        <v>0.625</v>
      </c>
      <c r="M128" s="56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50">
        <v>1.75</v>
      </c>
      <c r="T128" s="48">
        <v>37</v>
      </c>
      <c r="U128" s="4">
        <v>48</v>
      </c>
      <c r="V128" s="4">
        <f>T128*S128</f>
        <v>64.75</v>
      </c>
      <c r="W128" s="4">
        <f>U128*S128</f>
        <v>84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52">
        <v>0.625</v>
      </c>
      <c r="I129" s="43">
        <v>0.64583333333333337</v>
      </c>
      <c r="J129" s="4">
        <v>30</v>
      </c>
      <c r="K129" s="43"/>
      <c r="L129" s="52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53">
        <v>0.5</v>
      </c>
      <c r="T129" s="48">
        <v>37</v>
      </c>
      <c r="U129" s="4">
        <v>48</v>
      </c>
      <c r="V129" s="4">
        <f>T129*S129</f>
        <v>18.5</v>
      </c>
      <c r="W129" s="4">
        <f>U129*S129</f>
        <v>24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56">
        <v>0.66666666666666663</v>
      </c>
      <c r="J130" s="4">
        <v>30</v>
      </c>
      <c r="K130" s="43"/>
      <c r="L130" s="43">
        <v>0.64583333333333337</v>
      </c>
      <c r="M130" s="56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50">
        <v>1</v>
      </c>
      <c r="T130" s="48">
        <v>37</v>
      </c>
      <c r="U130" s="4">
        <v>48</v>
      </c>
      <c r="V130" s="4">
        <f>T130*S130</f>
        <v>37</v>
      </c>
      <c r="W130" s="4">
        <f>U130*S130</f>
        <v>48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52">
        <v>0.54166666666666663</v>
      </c>
      <c r="I131" s="43">
        <v>0.5625</v>
      </c>
      <c r="J131" s="4">
        <v>30</v>
      </c>
      <c r="K131" s="43"/>
      <c r="L131" s="52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53">
        <v>0.5</v>
      </c>
      <c r="T131" s="48">
        <v>35</v>
      </c>
      <c r="U131" s="4">
        <v>48</v>
      </c>
      <c r="V131" s="4">
        <f>T131*S131</f>
        <v>17.5</v>
      </c>
      <c r="W131" s="4">
        <f>U131*S131</f>
        <v>24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10" t="s">
        <v>809</v>
      </c>
      <c r="R132" s="4"/>
      <c r="S132" s="53">
        <v>701.5</v>
      </c>
      <c r="T132" s="48">
        <v>35</v>
      </c>
      <c r="U132" s="4">
        <v>48</v>
      </c>
      <c r="V132" s="4">
        <f>T132*S132</f>
        <v>24552.5</v>
      </c>
      <c r="W132" s="4">
        <f>U132*S132</f>
        <v>33672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10" t="s">
        <v>811</v>
      </c>
      <c r="R133" s="4"/>
      <c r="S133" s="53">
        <v>0</v>
      </c>
      <c r="T133" s="48">
        <v>35</v>
      </c>
      <c r="U133" s="4">
        <v>48</v>
      </c>
      <c r="V133" s="4">
        <f>T133*S133</f>
        <v>0</v>
      </c>
      <c r="W133" s="4">
        <f>U133*S133</f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53">
        <v>0.5</v>
      </c>
      <c r="T134" s="48">
        <v>35</v>
      </c>
      <c r="U134" s="4">
        <v>48</v>
      </c>
      <c r="V134" s="4">
        <f>T134*S134</f>
        <v>17.5</v>
      </c>
      <c r="W134" s="4">
        <f>U134*S134</f>
        <v>24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10" t="s">
        <v>811</v>
      </c>
      <c r="R135" s="4"/>
      <c r="S135" s="53">
        <v>1.5</v>
      </c>
      <c r="T135" s="48">
        <v>35</v>
      </c>
      <c r="U135" s="4">
        <v>48</v>
      </c>
      <c r="V135" s="4">
        <f>T135*S135</f>
        <v>52.5</v>
      </c>
      <c r="W135" s="4">
        <f>U135*S135</f>
        <v>72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10" t="s">
        <v>811</v>
      </c>
      <c r="R136" s="4"/>
      <c r="S136" s="53">
        <v>0.5</v>
      </c>
      <c r="T136" s="48">
        <v>35</v>
      </c>
      <c r="U136" s="4">
        <v>48</v>
      </c>
      <c r="V136" s="4">
        <f>T136*S136</f>
        <v>17.5</v>
      </c>
      <c r="W136" s="4">
        <f>U136*S136</f>
        <v>24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56">
        <v>0.83333333333333337</v>
      </c>
      <c r="J137" s="4">
        <v>120</v>
      </c>
      <c r="K137" s="43"/>
      <c r="L137" s="45">
        <v>0.75</v>
      </c>
      <c r="M137" s="56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50">
        <v>7</v>
      </c>
      <c r="T137" s="48">
        <v>35</v>
      </c>
      <c r="U137" s="4">
        <v>48</v>
      </c>
      <c r="V137" s="4">
        <f>T137*S137</f>
        <v>245</v>
      </c>
      <c r="W137" s="4">
        <f>U137*S137</f>
        <v>336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52">
        <v>0.4236111111111111</v>
      </c>
      <c r="I138" s="43">
        <v>0.46527777777777779</v>
      </c>
      <c r="J138" s="4">
        <v>60</v>
      </c>
      <c r="K138" s="43"/>
      <c r="L138" s="52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53">
        <v>1</v>
      </c>
      <c r="T138" s="48">
        <v>27</v>
      </c>
      <c r="U138" s="4">
        <v>48</v>
      </c>
      <c r="V138" s="4">
        <f>T138*S138</f>
        <v>27</v>
      </c>
      <c r="W138" s="4">
        <f>U138*S138</f>
        <v>48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56">
        <v>0.54166666666666663</v>
      </c>
      <c r="J139" s="4">
        <v>60</v>
      </c>
      <c r="K139" s="43"/>
      <c r="L139" s="45">
        <v>0.5</v>
      </c>
      <c r="M139" s="56">
        <v>0.54166666666666663</v>
      </c>
      <c r="N139" s="4">
        <v>60</v>
      </c>
      <c r="O139" s="14" t="s">
        <v>93</v>
      </c>
      <c r="P139" s="4" t="s">
        <v>303</v>
      </c>
      <c r="Q139" s="10" t="s">
        <v>809</v>
      </c>
      <c r="R139" s="4"/>
      <c r="S139" s="50">
        <v>3</v>
      </c>
      <c r="T139" s="48">
        <v>27</v>
      </c>
      <c r="U139" s="4">
        <v>48</v>
      </c>
      <c r="V139" s="4">
        <f>T139*S139</f>
        <v>81</v>
      </c>
      <c r="W139" s="4">
        <f>U139*S139</f>
        <v>144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52">
        <v>0.42708333333333331</v>
      </c>
      <c r="I140" s="43">
        <v>0.4375</v>
      </c>
      <c r="J140" s="4">
        <v>15</v>
      </c>
      <c r="K140" s="43"/>
      <c r="L140" s="52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53">
        <v>0.25</v>
      </c>
      <c r="T140" s="48">
        <v>27</v>
      </c>
      <c r="U140" s="4">
        <v>48</v>
      </c>
      <c r="V140" s="4">
        <f>T140*S140</f>
        <v>6.75</v>
      </c>
      <c r="W140" s="4">
        <f>U140*S140</f>
        <v>12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53">
        <v>0.25</v>
      </c>
      <c r="T141" s="48">
        <v>27</v>
      </c>
      <c r="U141" s="4">
        <v>48</v>
      </c>
      <c r="V141" s="4">
        <f>T141*S141</f>
        <v>6.75</v>
      </c>
      <c r="W141" s="4">
        <f>U141*S141</f>
        <v>12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56">
        <v>0.5</v>
      </c>
      <c r="J142" s="4">
        <v>60</v>
      </c>
      <c r="K142" s="43"/>
      <c r="L142" s="43">
        <v>0.45833333333333331</v>
      </c>
      <c r="M142" s="56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50">
        <v>1.75</v>
      </c>
      <c r="T142" s="48">
        <v>27</v>
      </c>
      <c r="U142" s="4">
        <v>48</v>
      </c>
      <c r="V142" s="4">
        <f>T142*S142</f>
        <v>47.25</v>
      </c>
      <c r="W142" s="4">
        <f>U142*S142</f>
        <v>84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52">
        <v>0.47916666666666669</v>
      </c>
      <c r="I143" s="56">
        <v>0.5</v>
      </c>
      <c r="J143" s="4">
        <v>30</v>
      </c>
      <c r="K143" s="43"/>
      <c r="L143" s="52">
        <v>0.47916666666666669</v>
      </c>
      <c r="M143" s="56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50">
        <v>1</v>
      </c>
      <c r="T143" s="48">
        <v>25</v>
      </c>
      <c r="U143" s="4">
        <v>48</v>
      </c>
      <c r="V143" s="4">
        <f>T143*S143</f>
        <v>25</v>
      </c>
      <c r="W143" s="4">
        <f>U143*S143</f>
        <v>48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52">
        <v>0.4201388888888889</v>
      </c>
      <c r="I144" s="56">
        <v>0.4375</v>
      </c>
      <c r="J144" s="4">
        <v>25</v>
      </c>
      <c r="K144" s="43"/>
      <c r="L144" s="52">
        <v>0.4201388888888889</v>
      </c>
      <c r="M144" s="56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50">
        <v>1</v>
      </c>
      <c r="T144" s="4"/>
      <c r="U144" s="4">
        <v>48</v>
      </c>
      <c r="V144" s="4">
        <f>T144*S144</f>
        <v>0</v>
      </c>
      <c r="W144" s="4">
        <f>U144*S144</f>
        <v>48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52">
        <v>0.39583333333333331</v>
      </c>
      <c r="I145" s="43">
        <v>0.41666666666666663</v>
      </c>
      <c r="J145" s="4">
        <v>30</v>
      </c>
      <c r="K145" s="43"/>
      <c r="L145" s="52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53">
        <v>0.5</v>
      </c>
      <c r="T145" s="48">
        <v>25</v>
      </c>
      <c r="U145" s="4">
        <v>48</v>
      </c>
      <c r="V145" s="4">
        <f>T145*S145</f>
        <v>12.5</v>
      </c>
      <c r="W145" s="4">
        <f>U145*S145</f>
        <v>24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10" t="s">
        <v>809</v>
      </c>
      <c r="R146" s="4"/>
      <c r="S146" s="53">
        <v>693.5</v>
      </c>
      <c r="T146" s="48">
        <v>25</v>
      </c>
      <c r="U146" s="4">
        <v>48</v>
      </c>
      <c r="V146" s="4">
        <f>T146*S146</f>
        <v>17337.5</v>
      </c>
      <c r="W146" s="4">
        <f>U146*S146</f>
        <v>33288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56">
        <v>0.58333333333333337</v>
      </c>
      <c r="J147" s="4">
        <v>120</v>
      </c>
      <c r="K147" s="43"/>
      <c r="L147" s="45">
        <v>0.5</v>
      </c>
      <c r="M147" s="56">
        <v>0.58333333333333337</v>
      </c>
      <c r="N147" s="4">
        <v>120</v>
      </c>
      <c r="O147" s="6" t="s">
        <v>26</v>
      </c>
      <c r="P147" s="4" t="s">
        <v>175</v>
      </c>
      <c r="Q147" s="10" t="s">
        <v>809</v>
      </c>
      <c r="R147" s="4"/>
      <c r="S147" s="50">
        <v>4.5</v>
      </c>
      <c r="T147" s="48">
        <v>25</v>
      </c>
      <c r="U147" s="4">
        <v>48</v>
      </c>
      <c r="V147" s="4">
        <f>T147*S147</f>
        <v>112.5</v>
      </c>
      <c r="W147" s="4">
        <f>U147*S147</f>
        <v>216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52">
        <v>0.54166666666666663</v>
      </c>
      <c r="I148" s="44">
        <v>0.55208333333333337</v>
      </c>
      <c r="J148" s="9">
        <v>15</v>
      </c>
      <c r="K148" s="44"/>
      <c r="L148" s="52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55">
        <v>0.25</v>
      </c>
      <c r="T148" s="49">
        <v>27</v>
      </c>
      <c r="U148" s="9">
        <v>48</v>
      </c>
      <c r="V148" s="4">
        <f>T148*S148</f>
        <v>6.75</v>
      </c>
      <c r="W148" s="4">
        <f>U148*S148</f>
        <v>12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58">
        <v>0.60416666666666663</v>
      </c>
      <c r="J149" s="9">
        <v>60</v>
      </c>
      <c r="K149" s="44"/>
      <c r="L149" s="45">
        <v>0.5625</v>
      </c>
      <c r="M149" s="58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57">
        <v>1.5</v>
      </c>
      <c r="T149" s="49">
        <v>27</v>
      </c>
      <c r="U149" s="9">
        <v>48</v>
      </c>
      <c r="V149" s="4">
        <f>T149*S149</f>
        <v>40.5</v>
      </c>
      <c r="W149" s="4">
        <f>U149*S149</f>
        <v>72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52">
        <v>0.625</v>
      </c>
      <c r="I150" s="56">
        <v>0.66666666666666663</v>
      </c>
      <c r="J150" s="4">
        <v>60</v>
      </c>
      <c r="K150" s="43"/>
      <c r="L150" s="52">
        <v>0.625</v>
      </c>
      <c r="M150" s="56">
        <v>0.66666666666666663</v>
      </c>
      <c r="N150" s="4">
        <v>60</v>
      </c>
      <c r="O150" s="6" t="s">
        <v>693</v>
      </c>
      <c r="P150" s="4"/>
      <c r="Q150" s="4"/>
      <c r="R150" s="4"/>
      <c r="S150" s="50">
        <v>1</v>
      </c>
      <c r="T150" s="48">
        <v>27</v>
      </c>
      <c r="U150" s="4">
        <v>48</v>
      </c>
      <c r="V150" s="4">
        <f>T150*S150</f>
        <v>27</v>
      </c>
      <c r="W150" s="4">
        <f>U150*S150</f>
        <v>48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52">
        <v>0.58333333333333337</v>
      </c>
      <c r="I151" s="43">
        <v>0.60416666666666674</v>
      </c>
      <c r="J151" s="4">
        <v>30</v>
      </c>
      <c r="K151" s="43"/>
      <c r="L151" s="52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53">
        <v>0.5</v>
      </c>
      <c r="T151" s="48">
        <v>35</v>
      </c>
      <c r="U151" s="4">
        <v>48</v>
      </c>
      <c r="V151" s="4">
        <f>T151*S151</f>
        <v>17.5</v>
      </c>
      <c r="W151" s="4">
        <f>U151*S151</f>
        <v>24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10" t="s">
        <v>809</v>
      </c>
      <c r="R152" s="4"/>
      <c r="S152" s="53">
        <v>703</v>
      </c>
      <c r="T152" s="48">
        <v>35</v>
      </c>
      <c r="U152" s="4">
        <v>48</v>
      </c>
      <c r="V152" s="4">
        <f>T152*S152</f>
        <v>24605</v>
      </c>
      <c r="W152" s="4">
        <f>U152*S152</f>
        <v>33744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56">
        <v>0.64583333333333337</v>
      </c>
      <c r="J153" s="4">
        <v>30</v>
      </c>
      <c r="K153" s="43"/>
      <c r="L153" s="43">
        <v>0.625</v>
      </c>
      <c r="M153" s="56">
        <v>0.64583333333333337</v>
      </c>
      <c r="N153" s="4">
        <v>30</v>
      </c>
      <c r="O153" s="4" t="s">
        <v>53</v>
      </c>
      <c r="P153" s="4" t="s">
        <v>694</v>
      </c>
      <c r="Q153" s="10" t="s">
        <v>811</v>
      </c>
      <c r="R153" s="4"/>
      <c r="S153" s="50">
        <v>2</v>
      </c>
      <c r="T153" s="48">
        <v>35</v>
      </c>
      <c r="U153" s="4">
        <v>48</v>
      </c>
      <c r="V153" s="4">
        <f>T153*S153</f>
        <v>70</v>
      </c>
      <c r="W153" s="4">
        <f>U153*S153</f>
        <v>96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52">
        <v>0.45833333333333331</v>
      </c>
      <c r="I154" s="56">
        <v>0.47916666666666663</v>
      </c>
      <c r="J154" s="4">
        <v>30</v>
      </c>
      <c r="K154" s="43"/>
      <c r="L154" s="52">
        <v>0.45833333333333331</v>
      </c>
      <c r="M154" s="56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50">
        <v>1</v>
      </c>
      <c r="T154" s="4"/>
      <c r="U154" s="4">
        <v>48</v>
      </c>
      <c r="V154" s="4">
        <f>T154*S154</f>
        <v>0</v>
      </c>
      <c r="W154" s="4">
        <f>U154*S154</f>
        <v>48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52">
        <v>0.375</v>
      </c>
      <c r="I155" s="43">
        <v>0.38541666666666669</v>
      </c>
      <c r="J155" s="4">
        <v>15</v>
      </c>
      <c r="K155" s="43"/>
      <c r="L155" s="52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53">
        <v>0.25</v>
      </c>
      <c r="T155" s="4"/>
      <c r="U155" s="4">
        <v>48</v>
      </c>
      <c r="V155" s="4">
        <f>T155*S155</f>
        <v>0</v>
      </c>
      <c r="W155" s="4">
        <f>U155*S155</f>
        <v>12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53">
        <v>0.25</v>
      </c>
      <c r="T156" s="4"/>
      <c r="U156" s="4">
        <v>48</v>
      </c>
      <c r="V156" s="4">
        <f>T156*S156</f>
        <v>0</v>
      </c>
      <c r="W156" s="4">
        <f>U156*S156</f>
        <v>12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56">
        <v>0.45833333333333331</v>
      </c>
      <c r="J157" s="4">
        <v>90</v>
      </c>
      <c r="K157" s="43"/>
      <c r="L157" s="45">
        <v>0.39583333333333331</v>
      </c>
      <c r="M157" s="56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50">
        <v>2</v>
      </c>
      <c r="T157" s="4"/>
      <c r="U157" s="4">
        <v>48</v>
      </c>
      <c r="V157" s="4">
        <f>T157*S157</f>
        <v>0</v>
      </c>
      <c r="W157" s="4">
        <f>U157*S157</f>
        <v>96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52">
        <v>0.45833333333333331</v>
      </c>
      <c r="I158" s="46">
        <v>0.6875</v>
      </c>
      <c r="J158" s="21">
        <v>330</v>
      </c>
      <c r="K158" s="46"/>
      <c r="L158" s="52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53">
        <v>5.5</v>
      </c>
      <c r="T158" s="51">
        <v>30</v>
      </c>
      <c r="U158" s="21">
        <v>48</v>
      </c>
      <c r="V158" s="4">
        <f>T158*S158</f>
        <v>165</v>
      </c>
      <c r="W158" s="4">
        <f>U158*S158</f>
        <v>264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56">
        <v>0.69791666666666663</v>
      </c>
      <c r="J159" s="4">
        <v>15</v>
      </c>
      <c r="K159" s="43"/>
      <c r="L159" s="45">
        <v>0.6875</v>
      </c>
      <c r="M159" s="56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50">
        <v>5.75</v>
      </c>
      <c r="T159" s="48">
        <v>30</v>
      </c>
      <c r="U159" s="4">
        <v>48</v>
      </c>
      <c r="V159" s="4">
        <f>T159*S159</f>
        <v>172.5</v>
      </c>
      <c r="W159" s="4">
        <f>U159*S159</f>
        <v>276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52">
        <v>0.39583333333333331</v>
      </c>
      <c r="I160" s="43">
        <v>0.40625</v>
      </c>
      <c r="J160" s="4">
        <v>15</v>
      </c>
      <c r="K160" s="43"/>
      <c r="L160" s="52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53">
        <v>0.25</v>
      </c>
      <c r="T160" s="48">
        <v>25</v>
      </c>
      <c r="U160" s="4">
        <v>48</v>
      </c>
      <c r="V160" s="4">
        <f>T160*S160</f>
        <v>6.25</v>
      </c>
      <c r="W160" s="4">
        <f>U160*S160</f>
        <v>12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10" t="s">
        <v>809</v>
      </c>
      <c r="R161" s="4"/>
      <c r="S161" s="53">
        <v>1415.5</v>
      </c>
      <c r="T161" s="48">
        <v>25</v>
      </c>
      <c r="U161" s="4">
        <v>48</v>
      </c>
      <c r="V161" s="4">
        <f>T161*S161</f>
        <v>35387.5</v>
      </c>
      <c r="W161" s="4">
        <f>U161*S161</f>
        <v>67944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10" t="s">
        <v>809</v>
      </c>
      <c r="R162" s="4"/>
      <c r="S162" s="53">
        <v>699.5</v>
      </c>
      <c r="T162" s="48">
        <v>25</v>
      </c>
      <c r="U162" s="4">
        <v>48</v>
      </c>
      <c r="V162" s="4">
        <f>T162*S162</f>
        <v>17487.5</v>
      </c>
      <c r="W162" s="4">
        <f>U162*S162</f>
        <v>33576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10" t="s">
        <v>811</v>
      </c>
      <c r="R163" s="4"/>
      <c r="S163" s="53">
        <v>0</v>
      </c>
      <c r="T163" s="48">
        <v>25</v>
      </c>
      <c r="U163" s="4">
        <v>48</v>
      </c>
      <c r="V163" s="4">
        <f>T163*S163</f>
        <v>0</v>
      </c>
      <c r="W163" s="4">
        <f>U163*S163</f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56">
        <v>0.60416666666666674</v>
      </c>
      <c r="J164" s="4">
        <v>30</v>
      </c>
      <c r="K164" s="43"/>
      <c r="L164" s="43">
        <v>0.58333333333333337</v>
      </c>
      <c r="M164" s="56">
        <v>0.60416666666666674</v>
      </c>
      <c r="N164" s="4">
        <v>30</v>
      </c>
      <c r="O164" s="4" t="s">
        <v>110</v>
      </c>
      <c r="P164" s="4" t="s">
        <v>447</v>
      </c>
      <c r="Q164" s="10" t="s">
        <v>811</v>
      </c>
      <c r="R164" s="4"/>
      <c r="S164" s="50">
        <v>5.5</v>
      </c>
      <c r="T164" s="48">
        <v>25</v>
      </c>
      <c r="U164" s="4">
        <v>48</v>
      </c>
      <c r="V164" s="4">
        <f>T164*S164</f>
        <v>137.5</v>
      </c>
      <c r="W164" s="4">
        <f>U164*S164</f>
        <v>264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52">
        <v>0.35416666666666669</v>
      </c>
      <c r="I165" s="56">
        <v>0.45833333333333331</v>
      </c>
      <c r="J165" s="4">
        <v>150</v>
      </c>
      <c r="K165" s="43"/>
      <c r="L165" s="52">
        <v>0.35416666666666669</v>
      </c>
      <c r="M165" s="56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50">
        <v>2.5</v>
      </c>
      <c r="T165" s="48">
        <v>25</v>
      </c>
      <c r="U165" s="4">
        <v>48</v>
      </c>
      <c r="V165" s="4">
        <f>T165*S165</f>
        <v>62.5</v>
      </c>
      <c r="W165" s="4">
        <f>U165*S165</f>
        <v>120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52">
        <v>0.52777777777777779</v>
      </c>
      <c r="I166" s="56">
        <v>0.63194444444444442</v>
      </c>
      <c r="J166" s="4">
        <v>150</v>
      </c>
      <c r="K166" s="43"/>
      <c r="L166" s="52">
        <v>0.52777777777777779</v>
      </c>
      <c r="M166" s="56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50">
        <v>2.5</v>
      </c>
      <c r="T166" s="48">
        <v>25</v>
      </c>
      <c r="U166" s="4">
        <v>48</v>
      </c>
      <c r="V166" s="4">
        <f>T166*S166</f>
        <v>62.5</v>
      </c>
      <c r="W166" s="4">
        <f>U166*S166</f>
        <v>120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52">
        <v>0.625</v>
      </c>
      <c r="I167" s="43">
        <v>0.63541666666666663</v>
      </c>
      <c r="J167" s="4">
        <v>15</v>
      </c>
      <c r="K167" s="43"/>
      <c r="L167" s="52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53">
        <v>0.25</v>
      </c>
      <c r="T167" s="48">
        <v>27</v>
      </c>
      <c r="U167" s="4">
        <v>48</v>
      </c>
      <c r="V167" s="4">
        <f>T167*S167</f>
        <v>6.75</v>
      </c>
      <c r="W167" s="4">
        <f>U167*S167</f>
        <v>12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56">
        <v>0.77083333333333326</v>
      </c>
      <c r="J168" s="4">
        <v>150</v>
      </c>
      <c r="K168" s="43"/>
      <c r="L168" s="43">
        <v>0.66666666666666663</v>
      </c>
      <c r="M168" s="56">
        <v>0.77083333333333326</v>
      </c>
      <c r="N168" s="4">
        <v>150</v>
      </c>
      <c r="O168" s="4" t="s">
        <v>26</v>
      </c>
      <c r="P168" s="4" t="s">
        <v>464</v>
      </c>
      <c r="Q168" s="10" t="s">
        <v>809</v>
      </c>
      <c r="R168" s="4"/>
      <c r="S168" s="50">
        <v>3.5</v>
      </c>
      <c r="T168" s="48">
        <v>27</v>
      </c>
      <c r="U168" s="4">
        <v>48</v>
      </c>
      <c r="V168" s="4">
        <f>T168*S168</f>
        <v>94.5</v>
      </c>
      <c r="W168" s="4">
        <f>U168*S168</f>
        <v>168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52">
        <v>0.41666666666666669</v>
      </c>
      <c r="I169" s="56">
        <v>0.45833333333333337</v>
      </c>
      <c r="J169" s="4">
        <v>60</v>
      </c>
      <c r="K169" s="43"/>
      <c r="L169" s="52">
        <v>0.41666666666666669</v>
      </c>
      <c r="M169" s="56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50">
        <v>1</v>
      </c>
      <c r="T169" s="48">
        <v>27</v>
      </c>
      <c r="U169" s="4">
        <v>48</v>
      </c>
      <c r="V169" s="4">
        <f>T169*S169</f>
        <v>27</v>
      </c>
      <c r="W169" s="4">
        <f>U169*S169</f>
        <v>48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52">
        <v>0.64583333333333337</v>
      </c>
      <c r="I170" s="56">
        <v>0.66666666666666674</v>
      </c>
      <c r="J170" s="4">
        <v>30</v>
      </c>
      <c r="K170" s="43"/>
      <c r="L170" s="52">
        <v>0.64583333333333337</v>
      </c>
      <c r="M170" s="56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50">
        <v>1</v>
      </c>
      <c r="T170" s="48">
        <v>27</v>
      </c>
      <c r="U170" s="4">
        <v>48</v>
      </c>
      <c r="V170" s="4">
        <f>T170*S170</f>
        <v>27</v>
      </c>
      <c r="W170" s="4">
        <f>U170*S170</f>
        <v>48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52">
        <v>0.5</v>
      </c>
      <c r="I171" s="56">
        <v>0.6875</v>
      </c>
      <c r="J171" s="4">
        <v>270</v>
      </c>
      <c r="K171" s="43"/>
      <c r="L171" s="52">
        <v>0.5</v>
      </c>
      <c r="M171" s="56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50">
        <v>4.5</v>
      </c>
      <c r="T171" s="48">
        <v>27</v>
      </c>
      <c r="U171" s="4">
        <v>48</v>
      </c>
      <c r="V171" s="4">
        <f>T171*S171</f>
        <v>121.5</v>
      </c>
      <c r="W171" s="4">
        <f>U171*S171</f>
        <v>216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52">
        <v>0.375</v>
      </c>
      <c r="I172" s="43">
        <v>0.39583333333333331</v>
      </c>
      <c r="J172" s="4">
        <v>30</v>
      </c>
      <c r="K172" s="43"/>
      <c r="L172" s="52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53">
        <v>0.5</v>
      </c>
      <c r="T172" s="48">
        <v>27</v>
      </c>
      <c r="U172" s="4">
        <v>48</v>
      </c>
      <c r="V172" s="4">
        <f>T172*S172</f>
        <v>13.5</v>
      </c>
      <c r="W172" s="4">
        <f>U172*S172</f>
        <v>24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53">
        <v>0.5</v>
      </c>
      <c r="T173" s="48">
        <v>27</v>
      </c>
      <c r="U173" s="4">
        <v>48</v>
      </c>
      <c r="V173" s="4">
        <f>T173*S173</f>
        <v>13.5</v>
      </c>
      <c r="W173" s="4">
        <f>U173*S173</f>
        <v>24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56">
        <v>0.5</v>
      </c>
      <c r="J174" s="4">
        <v>90</v>
      </c>
      <c r="K174" s="43"/>
      <c r="L174" s="43">
        <v>0.4375</v>
      </c>
      <c r="M174" s="56">
        <v>0.5</v>
      </c>
      <c r="N174" s="4">
        <v>90</v>
      </c>
      <c r="O174" s="4" t="s">
        <v>26</v>
      </c>
      <c r="P174" s="4" t="s">
        <v>192</v>
      </c>
      <c r="Q174" s="10" t="s">
        <v>809</v>
      </c>
      <c r="R174" s="4"/>
      <c r="S174" s="50">
        <v>3</v>
      </c>
      <c r="T174" s="48">
        <v>27</v>
      </c>
      <c r="U174" s="4">
        <v>48</v>
      </c>
      <c r="V174" s="4">
        <f>T174*S174</f>
        <v>81</v>
      </c>
      <c r="W174" s="4">
        <f>U174*S174</f>
        <v>144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52">
        <v>0.55208333333333337</v>
      </c>
      <c r="I175" s="43">
        <v>0.5625</v>
      </c>
      <c r="J175" s="4">
        <v>15</v>
      </c>
      <c r="K175" s="43"/>
      <c r="L175" s="52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53">
        <v>0.25</v>
      </c>
      <c r="T175" s="48">
        <v>27</v>
      </c>
      <c r="U175" s="4">
        <v>48</v>
      </c>
      <c r="V175" s="4">
        <f>T175*S175</f>
        <v>6.75</v>
      </c>
      <c r="W175" s="4">
        <f>U175*S175</f>
        <v>12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56">
        <v>0.61111111111111105</v>
      </c>
      <c r="J176" s="4">
        <v>60</v>
      </c>
      <c r="K176" s="43"/>
      <c r="L176" s="45">
        <v>0.56944444444444442</v>
      </c>
      <c r="M176" s="56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50">
        <v>1.5</v>
      </c>
      <c r="T176" s="48">
        <v>27</v>
      </c>
      <c r="U176" s="4">
        <v>48</v>
      </c>
      <c r="V176" s="4">
        <f>T176*S176</f>
        <v>40.5</v>
      </c>
      <c r="W176" s="4">
        <f>U176*S176</f>
        <v>72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52">
        <v>0.6875</v>
      </c>
      <c r="I177" s="56">
        <v>0.70833333333333337</v>
      </c>
      <c r="J177" s="4">
        <v>30</v>
      </c>
      <c r="K177" s="43"/>
      <c r="L177" s="52">
        <v>0.6875</v>
      </c>
      <c r="M177" s="56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50">
        <v>1</v>
      </c>
      <c r="T177" s="48">
        <v>35</v>
      </c>
      <c r="U177" s="4">
        <v>48</v>
      </c>
      <c r="V177" s="4">
        <f>T177*S177</f>
        <v>35</v>
      </c>
      <c r="W177" s="4">
        <f>U177*S177</f>
        <v>48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52">
        <v>0.29166666666666669</v>
      </c>
      <c r="I178" s="43">
        <v>0.30208333333333331</v>
      </c>
      <c r="J178" s="4">
        <v>15</v>
      </c>
      <c r="K178" s="43"/>
      <c r="L178" s="52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53">
        <v>0.25</v>
      </c>
      <c r="T178" s="48">
        <v>35</v>
      </c>
      <c r="U178" s="4">
        <v>48</v>
      </c>
      <c r="V178" s="4">
        <f>T178*S178</f>
        <v>8.75</v>
      </c>
      <c r="W178" s="4">
        <f>U178*S178</f>
        <v>12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53">
        <v>2</v>
      </c>
      <c r="T179" s="48">
        <v>35</v>
      </c>
      <c r="U179" s="4">
        <v>48</v>
      </c>
      <c r="V179" s="4">
        <f>T179*S179</f>
        <v>70</v>
      </c>
      <c r="W179" s="4">
        <f>U179*S179</f>
        <v>96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56">
        <v>0.45833333333333331</v>
      </c>
      <c r="J180" s="4">
        <v>120</v>
      </c>
      <c r="K180" s="43"/>
      <c r="L180" s="45">
        <v>0.39583333333333331</v>
      </c>
      <c r="M180" s="56">
        <v>0.45833333333333331</v>
      </c>
      <c r="N180" s="4">
        <v>120</v>
      </c>
      <c r="O180" s="6" t="s">
        <v>115</v>
      </c>
      <c r="P180" s="4"/>
      <c r="Q180" s="4"/>
      <c r="R180" s="4"/>
      <c r="S180" s="50">
        <v>4</v>
      </c>
      <c r="T180" s="48">
        <v>35</v>
      </c>
      <c r="U180" s="4">
        <v>48</v>
      </c>
      <c r="V180" s="4">
        <f>T180*S180</f>
        <v>140</v>
      </c>
      <c r="W180" s="4">
        <f>U180*S180</f>
        <v>192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52">
        <v>0.54166666666666663</v>
      </c>
      <c r="I181" s="56">
        <v>0.5625</v>
      </c>
      <c r="J181" s="4">
        <v>30</v>
      </c>
      <c r="K181" s="43"/>
      <c r="L181" s="52">
        <v>0.54166666666666663</v>
      </c>
      <c r="M181" s="56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50">
        <v>1</v>
      </c>
      <c r="T181" s="48">
        <v>30</v>
      </c>
      <c r="U181" s="4">
        <v>48</v>
      </c>
      <c r="V181" s="4">
        <f>T181*S181</f>
        <v>30</v>
      </c>
      <c r="W181" s="4">
        <f>U181*S181</f>
        <v>48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52">
        <v>0.5</v>
      </c>
      <c r="I182" s="56">
        <v>0.6875</v>
      </c>
      <c r="J182" s="4">
        <v>270</v>
      </c>
      <c r="K182" s="43"/>
      <c r="L182" s="52">
        <v>0.5</v>
      </c>
      <c r="M182" s="56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50">
        <v>4.5</v>
      </c>
      <c r="T182" s="48">
        <v>30</v>
      </c>
      <c r="U182" s="4">
        <v>48</v>
      </c>
      <c r="V182" s="4">
        <f>T182*S182</f>
        <v>135</v>
      </c>
      <c r="W182" s="4">
        <f>U182*S182</f>
        <v>216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52">
        <v>0.46875</v>
      </c>
      <c r="I183" s="56">
        <v>0.5</v>
      </c>
      <c r="J183" s="4">
        <v>45</v>
      </c>
      <c r="K183" s="43"/>
      <c r="L183" s="52">
        <v>0.46875</v>
      </c>
      <c r="M183" s="56">
        <v>0.5</v>
      </c>
      <c r="N183" s="4">
        <v>45</v>
      </c>
      <c r="O183" s="6" t="s">
        <v>290</v>
      </c>
      <c r="P183" s="4"/>
      <c r="Q183" s="4"/>
      <c r="R183" s="4"/>
      <c r="S183" s="50">
        <v>1</v>
      </c>
      <c r="T183" s="48">
        <v>30</v>
      </c>
      <c r="U183" s="4">
        <v>48</v>
      </c>
      <c r="V183" s="4">
        <f>T183*S183</f>
        <v>30</v>
      </c>
      <c r="W183" s="4">
        <f>U183*S183</f>
        <v>48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52">
        <v>0.3125</v>
      </c>
      <c r="I184" s="56">
        <v>0.41666666666666669</v>
      </c>
      <c r="J184" s="4">
        <v>150</v>
      </c>
      <c r="K184" s="43"/>
      <c r="L184" s="52">
        <v>0.3125</v>
      </c>
      <c r="M184" s="56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50">
        <v>2.5</v>
      </c>
      <c r="T184" s="48">
        <v>30</v>
      </c>
      <c r="U184" s="4">
        <v>48</v>
      </c>
      <c r="V184" s="4">
        <f>T184*S184</f>
        <v>75</v>
      </c>
      <c r="W184" s="4">
        <f>U184*S184</f>
        <v>120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52">
        <v>0.45833333333333331</v>
      </c>
      <c r="I185" s="43">
        <v>0.48958333333333331</v>
      </c>
      <c r="J185" s="4">
        <v>45</v>
      </c>
      <c r="K185" s="43"/>
      <c r="L185" s="52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53">
        <v>0.75</v>
      </c>
      <c r="T185" s="48">
        <v>30</v>
      </c>
      <c r="U185" s="4">
        <v>48</v>
      </c>
      <c r="V185" s="4">
        <f>T185*S185</f>
        <v>22.5</v>
      </c>
      <c r="W185" s="4">
        <f>U185*S185</f>
        <v>36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56">
        <v>0.58333333333333326</v>
      </c>
      <c r="J186" s="4">
        <v>60</v>
      </c>
      <c r="K186" s="43"/>
      <c r="L186" s="43">
        <v>0.54166666666666663</v>
      </c>
      <c r="M186" s="56">
        <v>0.58333333333333326</v>
      </c>
      <c r="N186" s="4">
        <v>60</v>
      </c>
      <c r="O186" s="4" t="s">
        <v>110</v>
      </c>
      <c r="P186" s="4" t="s">
        <v>221</v>
      </c>
      <c r="Q186" s="10" t="s">
        <v>809</v>
      </c>
      <c r="R186" s="4"/>
      <c r="S186" s="50">
        <v>3</v>
      </c>
      <c r="T186" s="48">
        <v>30</v>
      </c>
      <c r="U186" s="4">
        <v>48</v>
      </c>
      <c r="V186" s="4">
        <f>T186*S186</f>
        <v>90</v>
      </c>
      <c r="W186" s="4">
        <f>U186*S186</f>
        <v>144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52">
        <v>0.70833333333333337</v>
      </c>
      <c r="I187" s="56">
        <v>0.75</v>
      </c>
      <c r="J187" s="4">
        <v>60</v>
      </c>
      <c r="K187" s="43"/>
      <c r="L187" s="52">
        <v>0.70833333333333337</v>
      </c>
      <c r="M187" s="56">
        <v>0.75</v>
      </c>
      <c r="N187" s="4">
        <v>60</v>
      </c>
      <c r="O187" s="6" t="s">
        <v>26</v>
      </c>
      <c r="P187" s="4"/>
      <c r="Q187" s="4"/>
      <c r="R187" s="4"/>
      <c r="S187" s="50">
        <v>1</v>
      </c>
      <c r="T187" s="48">
        <v>30</v>
      </c>
      <c r="U187" s="4">
        <v>48</v>
      </c>
      <c r="V187" s="4">
        <f>T187*S187</f>
        <v>30</v>
      </c>
      <c r="W187" s="4">
        <f>U187*S187</f>
        <v>48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52">
        <v>0.6875</v>
      </c>
      <c r="I188" s="43">
        <v>0.70833333333333337</v>
      </c>
      <c r="J188" s="4">
        <v>60</v>
      </c>
      <c r="K188" s="43"/>
      <c r="L188" s="52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53">
        <v>0.5</v>
      </c>
      <c r="T188" s="48">
        <v>30</v>
      </c>
      <c r="U188" s="4">
        <v>48</v>
      </c>
      <c r="V188" s="4">
        <f>T188*S188</f>
        <v>15</v>
      </c>
      <c r="W188" s="4">
        <f>U188*S188</f>
        <v>24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56">
        <v>0.83333333333333337</v>
      </c>
      <c r="J189" s="4">
        <v>90</v>
      </c>
      <c r="K189" s="43"/>
      <c r="L189" s="45">
        <v>0.77083333333333337</v>
      </c>
      <c r="M189" s="56">
        <v>0.83333333333333337</v>
      </c>
      <c r="N189" s="4">
        <v>90</v>
      </c>
      <c r="O189" s="6" t="s">
        <v>26</v>
      </c>
      <c r="P189" s="4" t="s">
        <v>711</v>
      </c>
      <c r="Q189" s="10" t="s">
        <v>809</v>
      </c>
      <c r="R189" s="4"/>
      <c r="S189" s="50">
        <v>3.5</v>
      </c>
      <c r="T189" s="48">
        <v>30</v>
      </c>
      <c r="U189" s="4">
        <v>48</v>
      </c>
      <c r="V189" s="4">
        <f>T189*S189</f>
        <v>105</v>
      </c>
      <c r="W189" s="4">
        <f>U189*S189</f>
        <v>168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52">
        <v>0.35416666666666669</v>
      </c>
      <c r="I190" s="43">
        <v>0.375</v>
      </c>
      <c r="J190" s="4">
        <v>30</v>
      </c>
      <c r="K190" s="43"/>
      <c r="L190" s="52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53">
        <v>0.5</v>
      </c>
      <c r="T190" s="48">
        <v>30</v>
      </c>
      <c r="U190" s="4">
        <v>48</v>
      </c>
      <c r="V190" s="4">
        <f>T190*S190</f>
        <v>15</v>
      </c>
      <c r="W190" s="4">
        <f>U190*S190</f>
        <v>24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56">
        <v>0.4375</v>
      </c>
      <c r="J191" s="4">
        <v>60</v>
      </c>
      <c r="K191" s="43"/>
      <c r="L191" s="45">
        <v>0.39583333333333331</v>
      </c>
      <c r="M191" s="56">
        <v>0.4375</v>
      </c>
      <c r="N191" s="4">
        <v>60</v>
      </c>
      <c r="O191" s="6" t="s">
        <v>26</v>
      </c>
      <c r="P191" s="4" t="s">
        <v>463</v>
      </c>
      <c r="Q191" s="10" t="s">
        <v>809</v>
      </c>
      <c r="R191" s="4"/>
      <c r="S191" s="50">
        <v>2</v>
      </c>
      <c r="T191" s="48">
        <v>30</v>
      </c>
      <c r="U191" s="4">
        <v>48</v>
      </c>
      <c r="V191" s="4">
        <f>T191*S191</f>
        <v>60</v>
      </c>
      <c r="W191" s="4">
        <f>U191*S191</f>
        <v>96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52">
        <v>0.39583333333333331</v>
      </c>
      <c r="I192" s="43">
        <v>0.40625</v>
      </c>
      <c r="J192" s="4">
        <v>15</v>
      </c>
      <c r="K192" s="43"/>
      <c r="L192" s="52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53">
        <v>0.25</v>
      </c>
      <c r="T192" s="48">
        <v>30</v>
      </c>
      <c r="U192" s="4">
        <v>48</v>
      </c>
      <c r="V192" s="4">
        <f>T192*S192</f>
        <v>7.5</v>
      </c>
      <c r="W192" s="4">
        <f>U192*S192</f>
        <v>12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53">
        <v>0.75</v>
      </c>
      <c r="T193" s="48">
        <v>30</v>
      </c>
      <c r="U193" s="4">
        <v>48</v>
      </c>
      <c r="V193" s="4">
        <f>T193*S193</f>
        <v>22.5</v>
      </c>
      <c r="W193" s="4">
        <f>U193*S193</f>
        <v>36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56">
        <v>0.4375</v>
      </c>
      <c r="J194" s="4">
        <v>15</v>
      </c>
      <c r="K194" s="43"/>
      <c r="L194" s="45">
        <v>0.42708333333333331</v>
      </c>
      <c r="M194" s="56">
        <v>0.4375</v>
      </c>
      <c r="N194" s="4">
        <v>15</v>
      </c>
      <c r="O194" s="6" t="s">
        <v>46</v>
      </c>
      <c r="P194" s="4" t="s">
        <v>47</v>
      </c>
      <c r="Q194" s="10" t="s">
        <v>811</v>
      </c>
      <c r="R194" s="4"/>
      <c r="S194" s="50">
        <v>1</v>
      </c>
      <c r="T194" s="48">
        <v>30</v>
      </c>
      <c r="U194" s="4">
        <v>48</v>
      </c>
      <c r="V194" s="4">
        <f>T194*S194</f>
        <v>30</v>
      </c>
      <c r="W194" s="4">
        <f>U194*S194</f>
        <v>48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52">
        <v>0.5</v>
      </c>
      <c r="I195" s="43">
        <v>0.6875</v>
      </c>
      <c r="J195" s="4">
        <v>270</v>
      </c>
      <c r="K195" s="43"/>
      <c r="L195" s="52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53">
        <v>4.5</v>
      </c>
      <c r="T195" s="48">
        <v>30</v>
      </c>
      <c r="U195" s="4">
        <v>48</v>
      </c>
      <c r="V195" s="4">
        <f>T195*S195</f>
        <v>135</v>
      </c>
      <c r="W195" s="4">
        <f>U195*S195</f>
        <v>216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56">
        <v>0.58333333333333337</v>
      </c>
      <c r="J196" s="4">
        <v>30</v>
      </c>
      <c r="K196" s="43"/>
      <c r="L196" s="43">
        <v>0.5625</v>
      </c>
      <c r="M196" s="56">
        <v>0.58333333333333337</v>
      </c>
      <c r="N196" s="4">
        <v>30</v>
      </c>
      <c r="O196" s="4" t="s">
        <v>110</v>
      </c>
      <c r="P196" s="4" t="s">
        <v>160</v>
      </c>
      <c r="Q196" s="10" t="s">
        <v>811</v>
      </c>
      <c r="R196" s="4"/>
      <c r="S196" s="50">
        <v>4.5</v>
      </c>
      <c r="T196" s="48">
        <v>30</v>
      </c>
      <c r="U196" s="4">
        <v>48</v>
      </c>
      <c r="V196" s="4">
        <f>T196*S196</f>
        <v>135</v>
      </c>
      <c r="W196" s="4">
        <f>U196*S196</f>
        <v>216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52">
        <v>0.4375</v>
      </c>
      <c r="I197" s="43">
        <v>0.45833333333333331</v>
      </c>
      <c r="J197" s="4">
        <v>30</v>
      </c>
      <c r="K197" s="43"/>
      <c r="L197" s="52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53">
        <v>0.5</v>
      </c>
      <c r="T197" s="48">
        <v>30</v>
      </c>
      <c r="U197" s="4">
        <v>48</v>
      </c>
      <c r="V197" s="4">
        <f>T197*S197</f>
        <v>15</v>
      </c>
      <c r="W197" s="4">
        <f>U197*S197</f>
        <v>24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10" t="s">
        <v>809</v>
      </c>
      <c r="R198" s="4"/>
      <c r="S198" s="53">
        <v>701</v>
      </c>
      <c r="T198" s="48">
        <v>30</v>
      </c>
      <c r="U198" s="4">
        <v>48</v>
      </c>
      <c r="V198" s="4">
        <f>T198*S198</f>
        <v>21030</v>
      </c>
      <c r="W198" s="4">
        <f>U198*S198</f>
        <v>33648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56">
        <v>0.73958333333333337</v>
      </c>
      <c r="J199" s="4">
        <v>15</v>
      </c>
      <c r="K199" s="43"/>
      <c r="L199" s="43">
        <v>0.72916666666666663</v>
      </c>
      <c r="M199" s="56">
        <v>0.73958333333333337</v>
      </c>
      <c r="N199" s="4">
        <v>15</v>
      </c>
      <c r="O199" s="4" t="s">
        <v>26</v>
      </c>
      <c r="P199" s="4"/>
      <c r="Q199" s="4"/>
      <c r="R199" s="4"/>
      <c r="S199" s="50">
        <v>7.25</v>
      </c>
      <c r="T199" s="48">
        <v>30</v>
      </c>
      <c r="U199" s="4">
        <v>48</v>
      </c>
      <c r="V199" s="4">
        <f>T199*S199</f>
        <v>217.5</v>
      </c>
      <c r="W199" s="4">
        <f>U199*S199</f>
        <v>348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52">
        <v>0.35416666666666669</v>
      </c>
      <c r="I200" s="56">
        <v>0.45833333333333331</v>
      </c>
      <c r="J200" s="4">
        <v>150</v>
      </c>
      <c r="K200" s="43"/>
      <c r="L200" s="52">
        <v>0.35416666666666669</v>
      </c>
      <c r="M200" s="56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50">
        <v>2.5</v>
      </c>
      <c r="T200" s="4"/>
      <c r="U200" s="4">
        <v>48</v>
      </c>
      <c r="V200" s="4">
        <f>T200*S200</f>
        <v>0</v>
      </c>
      <c r="W200" s="4">
        <f>U200*S200</f>
        <v>120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52">
        <v>0.5625</v>
      </c>
      <c r="I201" s="56">
        <v>0.58333333333333337</v>
      </c>
      <c r="J201" s="4">
        <v>30</v>
      </c>
      <c r="K201" s="43"/>
      <c r="L201" s="52">
        <v>0.5625</v>
      </c>
      <c r="M201" s="56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50">
        <v>1</v>
      </c>
      <c r="T201" s="48">
        <v>40</v>
      </c>
      <c r="U201" s="4">
        <v>48</v>
      </c>
      <c r="V201" s="4">
        <f>T201*S201</f>
        <v>40</v>
      </c>
      <c r="W201" s="4">
        <f>U201*S201</f>
        <v>48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52">
        <v>0.375</v>
      </c>
      <c r="I202" s="43">
        <v>0.41666666666666669</v>
      </c>
      <c r="J202" s="4">
        <v>60</v>
      </c>
      <c r="K202" s="43"/>
      <c r="L202" s="52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53">
        <v>1</v>
      </c>
      <c r="T202" s="48">
        <v>30</v>
      </c>
      <c r="U202" s="4">
        <v>48</v>
      </c>
      <c r="V202" s="4">
        <f>T202*S202</f>
        <v>30</v>
      </c>
      <c r="W202" s="4">
        <f>U202*S202</f>
        <v>48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56">
        <v>0.52083333333333337</v>
      </c>
      <c r="J203" s="4">
        <v>150</v>
      </c>
      <c r="K203" s="43"/>
      <c r="L203" s="45">
        <v>0.41666666666666669</v>
      </c>
      <c r="M203" s="56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50">
        <v>3.5</v>
      </c>
      <c r="T203" s="48">
        <v>30</v>
      </c>
      <c r="U203" s="4">
        <v>48</v>
      </c>
      <c r="V203" s="4">
        <f>T203*S203</f>
        <v>105</v>
      </c>
      <c r="W203" s="4">
        <f>U203*S203</f>
        <v>168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52">
        <v>0.66666666666666663</v>
      </c>
      <c r="I204" s="56">
        <v>0.6875</v>
      </c>
      <c r="J204" s="4">
        <v>30</v>
      </c>
      <c r="K204" s="43"/>
      <c r="L204" s="52">
        <v>0.66666666666666663</v>
      </c>
      <c r="M204" s="56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50">
        <v>1</v>
      </c>
      <c r="T204" s="48">
        <v>30</v>
      </c>
      <c r="U204" s="4">
        <v>48</v>
      </c>
      <c r="V204" s="4">
        <f>T204*S204</f>
        <v>30</v>
      </c>
      <c r="W204" s="4">
        <f>U204*S204</f>
        <v>48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52">
        <v>0.41666666666666669</v>
      </c>
      <c r="I205" s="56">
        <v>0.42708333333333337</v>
      </c>
      <c r="J205" s="4">
        <v>15</v>
      </c>
      <c r="K205" s="43"/>
      <c r="L205" s="52">
        <v>0.41666666666666669</v>
      </c>
      <c r="M205" s="56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50">
        <v>1</v>
      </c>
      <c r="T205" s="48">
        <v>30</v>
      </c>
      <c r="U205" s="4">
        <v>48</v>
      </c>
      <c r="V205" s="4">
        <f>T205*S205</f>
        <v>30</v>
      </c>
      <c r="W205" s="4">
        <f>U205*S205</f>
        <v>48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52">
        <v>0.5625</v>
      </c>
      <c r="I206" s="43">
        <v>0.58333333333333337</v>
      </c>
      <c r="J206" s="4">
        <v>30</v>
      </c>
      <c r="K206" s="43"/>
      <c r="L206" s="52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53">
        <v>0.5</v>
      </c>
      <c r="T206" s="48">
        <v>32</v>
      </c>
      <c r="U206" s="4">
        <v>48</v>
      </c>
      <c r="V206" s="4">
        <f>T206*S206</f>
        <v>16</v>
      </c>
      <c r="W206" s="4">
        <f>U206*S206</f>
        <v>24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56">
        <v>0.8125</v>
      </c>
      <c r="J207" s="4">
        <v>300</v>
      </c>
      <c r="K207" s="43"/>
      <c r="L207" s="45">
        <v>0.60416666666666663</v>
      </c>
      <c r="M207" s="56">
        <v>0.8125</v>
      </c>
      <c r="N207" s="4">
        <v>300</v>
      </c>
      <c r="O207" s="6" t="s">
        <v>26</v>
      </c>
      <c r="P207" s="4" t="s">
        <v>535</v>
      </c>
      <c r="Q207" s="10" t="s">
        <v>809</v>
      </c>
      <c r="R207" s="4"/>
      <c r="S207" s="50">
        <v>6</v>
      </c>
      <c r="T207" s="48">
        <v>32</v>
      </c>
      <c r="U207" s="4">
        <v>48</v>
      </c>
      <c r="V207" s="4">
        <f>T207*S207</f>
        <v>192</v>
      </c>
      <c r="W207" s="4">
        <f>U207*S207</f>
        <v>288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52">
        <v>0.45833333333333331</v>
      </c>
      <c r="I208" s="56">
        <v>0.5</v>
      </c>
      <c r="J208" s="4">
        <v>60</v>
      </c>
      <c r="K208" s="43"/>
      <c r="L208" s="52">
        <v>0.45833333333333331</v>
      </c>
      <c r="M208" s="56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50">
        <v>1</v>
      </c>
      <c r="T208" s="48">
        <v>32</v>
      </c>
      <c r="U208" s="4">
        <v>48</v>
      </c>
      <c r="V208" s="4">
        <f>T208*S208</f>
        <v>32</v>
      </c>
      <c r="W208" s="4">
        <f>U208*S208</f>
        <v>48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52">
        <v>0.41666666666666669</v>
      </c>
      <c r="I209" s="56">
        <v>0.45833333333333337</v>
      </c>
      <c r="J209" s="4">
        <v>60</v>
      </c>
      <c r="K209" s="43"/>
      <c r="L209" s="52">
        <v>0.41666666666666669</v>
      </c>
      <c r="M209" s="56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50">
        <v>1</v>
      </c>
      <c r="T209" s="48">
        <v>32</v>
      </c>
      <c r="U209" s="4">
        <v>48</v>
      </c>
      <c r="V209" s="4">
        <f>T209*S209</f>
        <v>32</v>
      </c>
      <c r="W209" s="4">
        <f>U209*S209</f>
        <v>48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52">
        <v>0.41666666666666669</v>
      </c>
      <c r="I210" s="43">
        <v>0.4375</v>
      </c>
      <c r="J210" s="4">
        <v>30</v>
      </c>
      <c r="K210" s="43"/>
      <c r="L210" s="52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53">
        <v>0.5</v>
      </c>
      <c r="T210" s="48">
        <v>38</v>
      </c>
      <c r="U210" s="4">
        <v>48</v>
      </c>
      <c r="V210" s="4">
        <f>T210*S210</f>
        <v>19</v>
      </c>
      <c r="W210" s="4">
        <f>U210*S210</f>
        <v>24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56">
        <v>0.58333333333333337</v>
      </c>
      <c r="J211" s="4">
        <v>150</v>
      </c>
      <c r="K211" s="43"/>
      <c r="L211" s="45">
        <v>0.47916666666666669</v>
      </c>
      <c r="M211" s="56">
        <v>0.58333333333333337</v>
      </c>
      <c r="N211" s="4">
        <v>150</v>
      </c>
      <c r="O211" s="6" t="s">
        <v>323</v>
      </c>
      <c r="P211" s="4" t="s">
        <v>632</v>
      </c>
      <c r="Q211" s="10" t="s">
        <v>809</v>
      </c>
      <c r="R211" s="4"/>
      <c r="S211" s="50">
        <v>4</v>
      </c>
      <c r="T211" s="48">
        <v>38</v>
      </c>
      <c r="U211" s="4">
        <v>48</v>
      </c>
      <c r="V211" s="4">
        <f>T211*S211</f>
        <v>152</v>
      </c>
      <c r="W211" s="4">
        <f>U211*S211</f>
        <v>192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52">
        <v>0.625</v>
      </c>
      <c r="I212" s="56">
        <v>0.64583333333333337</v>
      </c>
      <c r="J212" s="4">
        <v>30</v>
      </c>
      <c r="K212" s="43"/>
      <c r="L212" s="52">
        <v>0.625</v>
      </c>
      <c r="M212" s="56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50">
        <v>1</v>
      </c>
      <c r="T212" s="48">
        <v>38</v>
      </c>
      <c r="U212" s="4">
        <v>48</v>
      </c>
      <c r="V212" s="4">
        <f>T212*S212</f>
        <v>38</v>
      </c>
      <c r="W212" s="4">
        <f>U212*S212</f>
        <v>48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52">
        <v>0.64583333333333337</v>
      </c>
      <c r="I213" s="56">
        <v>0.66666666666666674</v>
      </c>
      <c r="J213" s="4">
        <v>30</v>
      </c>
      <c r="K213" s="43"/>
      <c r="L213" s="52">
        <v>0.64583333333333337</v>
      </c>
      <c r="M213" s="56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50">
        <v>1</v>
      </c>
      <c r="T213" s="48">
        <v>38</v>
      </c>
      <c r="U213" s="4">
        <v>48</v>
      </c>
      <c r="V213" s="4">
        <f>T213*S213</f>
        <v>38</v>
      </c>
      <c r="W213" s="4">
        <f>U213*S213</f>
        <v>48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52">
        <v>0.39583333333333331</v>
      </c>
      <c r="I214" s="56">
        <v>0.41666666666666663</v>
      </c>
      <c r="J214" s="4">
        <v>30</v>
      </c>
      <c r="K214" s="43"/>
      <c r="L214" s="52">
        <v>0.39583333333333331</v>
      </c>
      <c r="M214" s="56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50">
        <v>1</v>
      </c>
      <c r="T214" s="48">
        <v>25</v>
      </c>
      <c r="U214" s="4">
        <v>48</v>
      </c>
      <c r="V214" s="4">
        <f>T214*S214</f>
        <v>25</v>
      </c>
      <c r="W214" s="4">
        <f>U214*S214</f>
        <v>48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52">
        <v>0.41666666666666669</v>
      </c>
      <c r="I215" s="43">
        <v>0.4375</v>
      </c>
      <c r="J215" s="4">
        <v>30</v>
      </c>
      <c r="K215" s="43"/>
      <c r="L215" s="52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53">
        <v>0.5</v>
      </c>
      <c r="T215" s="48">
        <v>30</v>
      </c>
      <c r="U215" s="4">
        <v>48</v>
      </c>
      <c r="V215" s="4">
        <f>T215*S215</f>
        <v>15</v>
      </c>
      <c r="W215" s="4">
        <f>U215*S215</f>
        <v>24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56">
        <v>0.54166666666666674</v>
      </c>
      <c r="J216" s="4">
        <v>90</v>
      </c>
      <c r="K216" s="43"/>
      <c r="L216" s="45">
        <v>0.47916666666666669</v>
      </c>
      <c r="M216" s="56">
        <v>0.54166666666666674</v>
      </c>
      <c r="N216" s="4">
        <v>90</v>
      </c>
      <c r="O216" s="6" t="s">
        <v>26</v>
      </c>
      <c r="P216" s="4" t="s">
        <v>192</v>
      </c>
      <c r="Q216" s="10" t="s">
        <v>809</v>
      </c>
      <c r="R216" s="4"/>
      <c r="S216" s="50">
        <v>3</v>
      </c>
      <c r="T216" s="48">
        <v>30</v>
      </c>
      <c r="U216" s="4">
        <v>48</v>
      </c>
      <c r="V216" s="4">
        <f>T216*S216</f>
        <v>90</v>
      </c>
      <c r="W216" s="4">
        <f>U216*S216</f>
        <v>144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16"/>
  <sheetViews>
    <sheetView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52">
        <v>0.58333333333333337</v>
      </c>
      <c r="I2" s="56">
        <v>0.61458333333333337</v>
      </c>
      <c r="J2" s="4">
        <v>45</v>
      </c>
      <c r="K2" s="43"/>
      <c r="L2" s="52">
        <v>0.58333333333333337</v>
      </c>
      <c r="M2" s="56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50">
        <v>1</v>
      </c>
      <c r="T2" s="48">
        <v>30</v>
      </c>
      <c r="U2" s="4">
        <v>48</v>
      </c>
      <c r="V2" s="4">
        <f>T2*S2</f>
        <v>30</v>
      </c>
      <c r="W2" s="4">
        <f>U2*S2</f>
        <v>48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54">
        <v>0.5625</v>
      </c>
      <c r="I3" s="58">
        <v>0.57291666666666663</v>
      </c>
      <c r="J3" s="9">
        <v>15</v>
      </c>
      <c r="K3" s="44"/>
      <c r="L3" s="54">
        <v>0.5625</v>
      </c>
      <c r="M3" s="58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57">
        <v>1</v>
      </c>
      <c r="T3" s="49">
        <v>30</v>
      </c>
      <c r="U3" s="9">
        <v>48</v>
      </c>
      <c r="V3" s="4">
        <f>T3*S3</f>
        <v>30</v>
      </c>
      <c r="W3" s="4">
        <f>U3*S3</f>
        <v>48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52">
        <v>0.39583333333333331</v>
      </c>
      <c r="I4" s="56">
        <v>0.41666666666666663</v>
      </c>
      <c r="J4" s="4">
        <v>30</v>
      </c>
      <c r="K4" s="43"/>
      <c r="L4" s="52">
        <v>0.39583333333333331</v>
      </c>
      <c r="M4" s="56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50">
        <v>1</v>
      </c>
      <c r="T4" s="48">
        <v>30</v>
      </c>
      <c r="U4" s="4">
        <v>48</v>
      </c>
      <c r="V4" s="4">
        <f>T4*S4</f>
        <v>30</v>
      </c>
      <c r="W4" s="4">
        <f>U4*S4</f>
        <v>48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52">
        <v>0.5625</v>
      </c>
      <c r="I5" s="56">
        <v>0.72916666666666663</v>
      </c>
      <c r="J5" s="4">
        <v>240</v>
      </c>
      <c r="K5" s="43"/>
      <c r="L5" s="52">
        <v>0.5625</v>
      </c>
      <c r="M5" s="56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50">
        <v>4</v>
      </c>
      <c r="T5" s="48">
        <v>30</v>
      </c>
      <c r="U5" s="4">
        <v>48</v>
      </c>
      <c r="V5" s="4">
        <f>T5*S5</f>
        <v>120</v>
      </c>
      <c r="W5" s="4">
        <f>U5*S5</f>
        <v>192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52">
        <v>0.47916666666666669</v>
      </c>
      <c r="I6" s="43">
        <v>0.49305555555555558</v>
      </c>
      <c r="J6" s="4">
        <v>20</v>
      </c>
      <c r="K6" s="43"/>
      <c r="L6" s="52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53">
        <v>0.5</v>
      </c>
      <c r="T6" s="48">
        <v>30</v>
      </c>
      <c r="U6" s="4">
        <v>48</v>
      </c>
      <c r="V6" s="4">
        <f>T6*S6</f>
        <v>15</v>
      </c>
      <c r="W6" s="4">
        <f>U6*S6</f>
        <v>24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56">
        <v>0.51388888888888884</v>
      </c>
      <c r="J7" s="4">
        <v>20</v>
      </c>
      <c r="K7" s="43"/>
      <c r="L7" s="45">
        <v>0.5</v>
      </c>
      <c r="M7" s="56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50">
        <v>1</v>
      </c>
      <c r="T7" s="48">
        <v>30</v>
      </c>
      <c r="U7" s="4">
        <v>48</v>
      </c>
      <c r="V7" s="4">
        <f>T7*S7</f>
        <v>30</v>
      </c>
      <c r="W7" s="4">
        <f>U7*S7</f>
        <v>48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52">
        <v>0.45833333333333331</v>
      </c>
      <c r="I8" s="56">
        <v>0.47916666666666663</v>
      </c>
      <c r="J8" s="4">
        <v>30</v>
      </c>
      <c r="K8" s="43"/>
      <c r="L8" s="52">
        <v>0.45833333333333331</v>
      </c>
      <c r="M8" s="56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50">
        <v>1</v>
      </c>
      <c r="T8" s="48">
        <v>30</v>
      </c>
      <c r="U8" s="4">
        <v>48</v>
      </c>
      <c r="V8" s="4">
        <f>T8*S8</f>
        <v>30</v>
      </c>
      <c r="W8" s="4">
        <f>U8*S8</f>
        <v>48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52">
        <v>0.375</v>
      </c>
      <c r="I9" s="43">
        <v>0.41666666666666669</v>
      </c>
      <c r="J9" s="4">
        <v>60</v>
      </c>
      <c r="K9" s="43"/>
      <c r="L9" s="52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53">
        <v>1</v>
      </c>
      <c r="T9" s="48">
        <v>30</v>
      </c>
      <c r="U9" s="4">
        <v>48</v>
      </c>
      <c r="V9" s="4">
        <f>T9*S9</f>
        <v>30</v>
      </c>
      <c r="W9" s="4">
        <f>U9*S9</f>
        <v>48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56">
        <v>0.45833333333333337</v>
      </c>
      <c r="J10" s="4">
        <v>60</v>
      </c>
      <c r="K10" s="43"/>
      <c r="L10" s="43">
        <v>0.41666666666666669</v>
      </c>
      <c r="M10" s="56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50">
        <v>2</v>
      </c>
      <c r="T10" s="48">
        <v>30</v>
      </c>
      <c r="U10" s="4">
        <v>48</v>
      </c>
      <c r="V10" s="4">
        <f>T10*S10</f>
        <v>60</v>
      </c>
      <c r="W10" s="4">
        <f>U10*S10</f>
        <v>96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52">
        <v>0.53125</v>
      </c>
      <c r="I11" s="43">
        <v>0.58333333333333337</v>
      </c>
      <c r="J11" s="4">
        <v>75</v>
      </c>
      <c r="K11" s="43"/>
      <c r="L11" s="52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53">
        <v>1.25</v>
      </c>
      <c r="T11" s="48">
        <v>30</v>
      </c>
      <c r="U11" s="4">
        <v>48</v>
      </c>
      <c r="V11" s="4">
        <f>T11*S11</f>
        <v>37.5</v>
      </c>
      <c r="W11" s="4">
        <f>U11*S11</f>
        <v>60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56">
        <v>0.625</v>
      </c>
      <c r="J12" s="4">
        <v>60</v>
      </c>
      <c r="K12" s="43"/>
      <c r="L12" s="43">
        <v>0.58333333333333337</v>
      </c>
      <c r="M12" s="56">
        <v>0.625</v>
      </c>
      <c r="N12" s="4">
        <v>60</v>
      </c>
      <c r="O12" s="4" t="s">
        <v>167</v>
      </c>
      <c r="P12" s="4"/>
      <c r="Q12" s="4"/>
      <c r="R12" s="4"/>
      <c r="S12" s="50">
        <v>2.25</v>
      </c>
      <c r="T12" s="48">
        <v>30</v>
      </c>
      <c r="U12" s="4">
        <v>48</v>
      </c>
      <c r="V12" s="4">
        <f>T12*S12</f>
        <v>67.5</v>
      </c>
      <c r="W12" s="4">
        <f>U12*S12</f>
        <v>108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52">
        <v>0.40277777777777773</v>
      </c>
      <c r="I13" s="56">
        <v>0.42361111111111105</v>
      </c>
      <c r="J13" s="4">
        <v>30</v>
      </c>
      <c r="K13" s="43"/>
      <c r="L13" s="52">
        <v>0.40277777777777773</v>
      </c>
      <c r="M13" s="56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50">
        <v>1</v>
      </c>
      <c r="T13" s="48">
        <v>30</v>
      </c>
      <c r="U13" s="4">
        <v>48</v>
      </c>
      <c r="V13" s="4">
        <f>T13*S13</f>
        <v>30</v>
      </c>
      <c r="W13" s="4">
        <f>U13*S13</f>
        <v>48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52">
        <v>0.6875</v>
      </c>
      <c r="I14" s="56">
        <v>0.70833333333333337</v>
      </c>
      <c r="J14" s="4">
        <v>30</v>
      </c>
      <c r="K14" s="43"/>
      <c r="L14" s="52">
        <v>0.6875</v>
      </c>
      <c r="M14" s="56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50">
        <v>1</v>
      </c>
      <c r="T14" s="48">
        <v>32</v>
      </c>
      <c r="U14" s="4">
        <v>48</v>
      </c>
      <c r="V14" s="4">
        <f>T14*S14</f>
        <v>32</v>
      </c>
      <c r="W14" s="4">
        <f>U14*S14</f>
        <v>48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52">
        <v>0.63541666666666663</v>
      </c>
      <c r="I15" s="56">
        <v>0.65625</v>
      </c>
      <c r="J15" s="4">
        <v>45</v>
      </c>
      <c r="K15" s="43"/>
      <c r="L15" s="52">
        <v>0.63541666666666663</v>
      </c>
      <c r="M15" s="56">
        <v>0.65625</v>
      </c>
      <c r="N15" s="4">
        <v>45</v>
      </c>
      <c r="O15" s="6" t="s">
        <v>695</v>
      </c>
      <c r="P15" s="4"/>
      <c r="Q15" s="4"/>
      <c r="R15" s="4"/>
      <c r="S15" s="50">
        <v>1</v>
      </c>
      <c r="T15" s="48">
        <v>32</v>
      </c>
      <c r="U15" s="4">
        <v>48</v>
      </c>
      <c r="V15" s="4">
        <f>T15*S15</f>
        <v>32</v>
      </c>
      <c r="W15" s="4">
        <f>U15*S15</f>
        <v>48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52">
        <v>0.33333333333333331</v>
      </c>
      <c r="I16" s="56">
        <v>0.35416666666666663</v>
      </c>
      <c r="J16" s="4">
        <v>30</v>
      </c>
      <c r="K16" s="43"/>
      <c r="L16" s="52">
        <v>0.33333333333333331</v>
      </c>
      <c r="M16" s="56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50">
        <v>1</v>
      </c>
      <c r="T16" s="48">
        <v>32</v>
      </c>
      <c r="U16" s="4">
        <v>48</v>
      </c>
      <c r="V16" s="4">
        <f>T16*S16</f>
        <v>32</v>
      </c>
      <c r="W16" s="4">
        <f>U16*S16</f>
        <v>48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52">
        <v>0.36458333333333331</v>
      </c>
      <c r="I17" s="43">
        <v>0.375</v>
      </c>
      <c r="J17" s="4">
        <v>15</v>
      </c>
      <c r="K17" s="43"/>
      <c r="L17" s="45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53">
        <v>0.25</v>
      </c>
      <c r="T17" s="48">
        <v>32</v>
      </c>
      <c r="U17" s="4">
        <v>48</v>
      </c>
      <c r="V17" s="4">
        <f>T17*S17</f>
        <v>8</v>
      </c>
      <c r="W17" s="4">
        <f>U17*S17</f>
        <v>12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53">
        <v>451</v>
      </c>
      <c r="T18" s="48">
        <v>32</v>
      </c>
      <c r="U18" s="4">
        <v>48</v>
      </c>
      <c r="V18" s="4">
        <f>T18*S18</f>
        <v>14432</v>
      </c>
      <c r="W18" s="4">
        <f>U18*S18</f>
        <v>21648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43">
        <v>0.4236111111111111</v>
      </c>
      <c r="J19" s="4">
        <v>40</v>
      </c>
      <c r="K19" s="43"/>
      <c r="L19" s="45">
        <v>0.39583333333333331</v>
      </c>
      <c r="M19" s="43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8">
        <v>32</v>
      </c>
      <c r="U19" s="4">
        <v>48</v>
      </c>
      <c r="V19" s="4">
        <f>T19*S19</f>
        <v>0</v>
      </c>
      <c r="W19" s="4">
        <f>U19*S19</f>
        <v>0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45">
        <v>0.5</v>
      </c>
      <c r="I20" s="43">
        <v>0.51041666666666663</v>
      </c>
      <c r="J20" s="4">
        <v>15</v>
      </c>
      <c r="K20" s="43"/>
      <c r="L20" s="45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4"/>
      <c r="T20" s="48">
        <v>32</v>
      </c>
      <c r="U20" s="4">
        <v>48</v>
      </c>
      <c r="V20" s="4">
        <f>T20*S20</f>
        <v>0</v>
      </c>
      <c r="W20" s="4">
        <f>U20*S20</f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4"/>
      <c r="T21" s="48">
        <v>32</v>
      </c>
      <c r="U21" s="4">
        <v>48</v>
      </c>
      <c r="V21" s="4">
        <f>T21*S21</f>
        <v>0</v>
      </c>
      <c r="W21" s="4">
        <f>U21*S21</f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43">
        <v>0.54861111111111116</v>
      </c>
      <c r="J22" s="4">
        <v>40</v>
      </c>
      <c r="K22" s="43"/>
      <c r="L22" s="43">
        <v>0.52777777777777779</v>
      </c>
      <c r="M22" s="43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4"/>
      <c r="T22" s="48">
        <v>32</v>
      </c>
      <c r="U22" s="4">
        <v>48</v>
      </c>
      <c r="V22" s="4">
        <f>T22*S22</f>
        <v>0</v>
      </c>
      <c r="W22" s="4">
        <f>U22*S22</f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43">
        <v>0.55208333333333337</v>
      </c>
      <c r="I23" s="43">
        <v>0.5625</v>
      </c>
      <c r="J23" s="4">
        <v>15</v>
      </c>
      <c r="K23" s="43"/>
      <c r="L23" s="43">
        <v>0.55208333333333337</v>
      </c>
      <c r="M23" s="43">
        <v>0.5625</v>
      </c>
      <c r="N23" s="4">
        <v>15</v>
      </c>
      <c r="O23" s="4" t="s">
        <v>107</v>
      </c>
      <c r="P23" s="4" t="s">
        <v>523</v>
      </c>
      <c r="Q23" s="4"/>
      <c r="R23" s="4"/>
      <c r="S23" s="4"/>
      <c r="T23" s="48">
        <v>32</v>
      </c>
      <c r="U23" s="4">
        <v>48</v>
      </c>
      <c r="V23" s="4">
        <f>T23*S23</f>
        <v>0</v>
      </c>
      <c r="W23" s="4">
        <f>U23*S23</f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45">
        <v>0.4375</v>
      </c>
      <c r="I24" s="43">
        <v>0.45833333333333331</v>
      </c>
      <c r="J24" s="4">
        <v>30</v>
      </c>
      <c r="K24" s="43"/>
      <c r="L24" s="45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4"/>
      <c r="T24" s="48">
        <v>32</v>
      </c>
      <c r="U24" s="4">
        <v>48</v>
      </c>
      <c r="V24" s="4">
        <f>T24*S24</f>
        <v>0</v>
      </c>
      <c r="W24" s="4">
        <f>U24*S24</f>
        <v>0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43">
        <v>0.5</v>
      </c>
      <c r="J25" s="4">
        <v>45</v>
      </c>
      <c r="K25" s="43"/>
      <c r="L25" s="43">
        <v>0.46875</v>
      </c>
      <c r="M25" s="43">
        <v>0.5</v>
      </c>
      <c r="N25" s="4">
        <v>45</v>
      </c>
      <c r="O25" s="4" t="s">
        <v>82</v>
      </c>
      <c r="P25" s="4" t="s">
        <v>83</v>
      </c>
      <c r="Q25" s="4"/>
      <c r="R25" s="4"/>
      <c r="S25" s="4"/>
      <c r="T25" s="48">
        <v>32</v>
      </c>
      <c r="U25" s="4">
        <v>48</v>
      </c>
      <c r="V25" s="4">
        <f>T25*S25</f>
        <v>0</v>
      </c>
      <c r="W25" s="4">
        <f>U25*S25</f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45">
        <v>0.54166666666666663</v>
      </c>
      <c r="I26" s="43">
        <v>0.57638888888888895</v>
      </c>
      <c r="J26" s="4">
        <v>50</v>
      </c>
      <c r="K26" s="43"/>
      <c r="L26" s="45">
        <v>0.54166666666666663</v>
      </c>
      <c r="M26" s="43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4"/>
      <c r="T26" s="48">
        <v>32</v>
      </c>
      <c r="U26" s="4">
        <v>48</v>
      </c>
      <c r="V26" s="4">
        <f>T26*S26</f>
        <v>0</v>
      </c>
      <c r="W26" s="4">
        <f>U26*S26</f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45">
        <v>0.39583333333333331</v>
      </c>
      <c r="I27" s="43">
        <v>0.41666666666666663</v>
      </c>
      <c r="J27" s="4">
        <v>30</v>
      </c>
      <c r="K27" s="43"/>
      <c r="L27" s="45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4"/>
      <c r="T27" s="48">
        <v>32</v>
      </c>
      <c r="U27" s="4">
        <v>48</v>
      </c>
      <c r="V27" s="4">
        <f>T27*S27</f>
        <v>0</v>
      </c>
      <c r="W27" s="4">
        <f>U27*S27</f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43">
        <v>0.45833333333333337</v>
      </c>
      <c r="J28" s="4">
        <v>60</v>
      </c>
      <c r="K28" s="43"/>
      <c r="L28" s="45">
        <v>0.41666666666666669</v>
      </c>
      <c r="M28" s="43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4"/>
      <c r="T28" s="48">
        <v>32</v>
      </c>
      <c r="U28" s="4">
        <v>48</v>
      </c>
      <c r="V28" s="4">
        <f>T28*S28</f>
        <v>0</v>
      </c>
      <c r="W28" s="4">
        <f>U28*S28</f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43">
        <v>0.47916666666666669</v>
      </c>
      <c r="I29" s="43">
        <v>0.5</v>
      </c>
      <c r="J29" s="4">
        <v>30</v>
      </c>
      <c r="K29" s="43"/>
      <c r="L29" s="43">
        <v>0.47916666666666669</v>
      </c>
      <c r="M29" s="43">
        <v>0.5</v>
      </c>
      <c r="N29" s="4">
        <v>30</v>
      </c>
      <c r="O29" s="4" t="s">
        <v>156</v>
      </c>
      <c r="P29" s="4" t="s">
        <v>269</v>
      </c>
      <c r="Q29" s="4"/>
      <c r="R29" s="4"/>
      <c r="S29" s="4"/>
      <c r="T29" s="48">
        <v>32</v>
      </c>
      <c r="U29" s="4">
        <v>48</v>
      </c>
      <c r="V29" s="4">
        <f>T29*S29</f>
        <v>0</v>
      </c>
      <c r="W29" s="4">
        <f>U29*S29</f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45">
        <v>0.60416666666666663</v>
      </c>
      <c r="I30" s="43">
        <v>0.625</v>
      </c>
      <c r="J30" s="4">
        <v>30</v>
      </c>
      <c r="K30" s="43"/>
      <c r="L30" s="45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8">
        <v>32</v>
      </c>
      <c r="U30" s="4">
        <v>48</v>
      </c>
      <c r="V30" s="4">
        <f>T30*S30</f>
        <v>0</v>
      </c>
      <c r="W30" s="4">
        <f>U30*S30</f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43">
        <v>0.70833333333333337</v>
      </c>
      <c r="J31" s="4">
        <v>90</v>
      </c>
      <c r="K31" s="43"/>
      <c r="L31" s="45">
        <v>0.64583333333333337</v>
      </c>
      <c r="M31" s="43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8">
        <v>32</v>
      </c>
      <c r="U31" s="4">
        <v>48</v>
      </c>
      <c r="V31" s="4">
        <f>T31*S31</f>
        <v>0</v>
      </c>
      <c r="W31" s="4">
        <f>U31*S31</f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45">
        <v>0.64583333333333337</v>
      </c>
      <c r="I32" s="43">
        <v>0.6875</v>
      </c>
      <c r="J32" s="4">
        <v>60</v>
      </c>
      <c r="K32" s="43"/>
      <c r="L32" s="45">
        <v>0.64583333333333337</v>
      </c>
      <c r="M32" s="43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8">
        <v>32</v>
      </c>
      <c r="U32" s="4">
        <v>48</v>
      </c>
      <c r="V32" s="4">
        <f>T32*S32</f>
        <v>0</v>
      </c>
      <c r="W32" s="4">
        <f>U32*S32</f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45">
        <v>0.375</v>
      </c>
      <c r="I33" s="43">
        <v>0.38541666666666669</v>
      </c>
      <c r="J33" s="4">
        <v>15</v>
      </c>
      <c r="K33" s="43"/>
      <c r="L33" s="45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8">
        <v>32</v>
      </c>
      <c r="U33" s="4">
        <v>48</v>
      </c>
      <c r="V33" s="4">
        <f>T33*S33</f>
        <v>0</v>
      </c>
      <c r="W33" s="4">
        <f>U33*S33</f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8">
        <v>32</v>
      </c>
      <c r="U34" s="4">
        <v>48</v>
      </c>
      <c r="V34" s="4">
        <f>T34*S34</f>
        <v>0</v>
      </c>
      <c r="W34" s="4">
        <f>U34*S34</f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43">
        <v>0.43750000000000006</v>
      </c>
      <c r="J35" s="4">
        <v>40</v>
      </c>
      <c r="K35" s="43"/>
      <c r="L35" s="45">
        <v>0.40972222222222227</v>
      </c>
      <c r="M35" s="43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8">
        <v>32</v>
      </c>
      <c r="U35" s="4">
        <v>48</v>
      </c>
      <c r="V35" s="4">
        <f>T35*S35</f>
        <v>0</v>
      </c>
      <c r="W35" s="4">
        <f>U35*S35</f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45">
        <v>0.64583333333333337</v>
      </c>
      <c r="I36" s="43">
        <v>0.66666666666666674</v>
      </c>
      <c r="J36" s="4">
        <v>30</v>
      </c>
      <c r="K36" s="43"/>
      <c r="L36" s="45">
        <v>0.64583333333333337</v>
      </c>
      <c r="M36" s="43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8">
        <v>32</v>
      </c>
      <c r="U36" s="4">
        <v>48</v>
      </c>
      <c r="V36" s="4">
        <f>T36*S36</f>
        <v>0</v>
      </c>
      <c r="W36" s="4">
        <f>U36*S36</f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45">
        <v>0.64236111111111105</v>
      </c>
      <c r="I37" s="43">
        <v>0.66666666666666663</v>
      </c>
      <c r="J37" s="4">
        <v>35</v>
      </c>
      <c r="K37" s="43"/>
      <c r="L37" s="45">
        <v>0.64236111111111105</v>
      </c>
      <c r="M37" s="43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4"/>
      <c r="T37" s="48">
        <v>32</v>
      </c>
      <c r="U37" s="4">
        <v>48</v>
      </c>
      <c r="V37" s="4">
        <f>T37*S37</f>
        <v>0</v>
      </c>
      <c r="W37" s="4">
        <f>U37*S37</f>
        <v>0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45">
        <v>0.66666666666666663</v>
      </c>
      <c r="I38" s="43">
        <v>0.6875</v>
      </c>
      <c r="J38" s="4">
        <v>30</v>
      </c>
      <c r="K38" s="43"/>
      <c r="L38" s="45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4"/>
      <c r="T38" s="48">
        <v>32</v>
      </c>
      <c r="U38" s="4">
        <v>48</v>
      </c>
      <c r="V38" s="4">
        <f>T38*S38</f>
        <v>0</v>
      </c>
      <c r="W38" s="4">
        <f>U38*S38</f>
        <v>0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43">
        <v>0.70833333333333337</v>
      </c>
      <c r="J39" s="4">
        <v>30</v>
      </c>
      <c r="K39" s="43"/>
      <c r="L39" s="45">
        <v>0.6875</v>
      </c>
      <c r="M39" s="43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4"/>
      <c r="T39" s="48">
        <v>32</v>
      </c>
      <c r="U39" s="4">
        <v>48</v>
      </c>
      <c r="V39" s="4">
        <f>T39*S39</f>
        <v>0</v>
      </c>
      <c r="W39" s="4">
        <f>U39*S39</f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45">
        <v>0.54166666666666663</v>
      </c>
      <c r="I40" s="43">
        <v>0.5625</v>
      </c>
      <c r="J40" s="4">
        <v>30</v>
      </c>
      <c r="K40" s="43"/>
      <c r="L40" s="45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4"/>
      <c r="T40" s="48">
        <v>32</v>
      </c>
      <c r="U40" s="4">
        <v>48</v>
      </c>
      <c r="V40" s="4">
        <f>T40*S40</f>
        <v>0</v>
      </c>
      <c r="W40" s="4">
        <f>U40*S40</f>
        <v>0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43">
        <v>0.60416666666666663</v>
      </c>
      <c r="J41" s="4">
        <v>15</v>
      </c>
      <c r="K41" s="43"/>
      <c r="L41" s="45">
        <v>0.59375</v>
      </c>
      <c r="M41" s="43">
        <v>0.60416666666666663</v>
      </c>
      <c r="N41" s="4">
        <v>15</v>
      </c>
      <c r="O41" s="6" t="s">
        <v>26</v>
      </c>
      <c r="P41" s="4" t="s">
        <v>372</v>
      </c>
      <c r="Q41" s="4"/>
      <c r="R41" s="4"/>
      <c r="S41" s="4"/>
      <c r="T41" s="48">
        <v>32</v>
      </c>
      <c r="U41" s="4">
        <v>48</v>
      </c>
      <c r="V41" s="4">
        <f>T41*S41</f>
        <v>0</v>
      </c>
      <c r="W41" s="4">
        <f>U41*S41</f>
        <v>0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43">
        <v>0.60416666666666663</v>
      </c>
      <c r="I42" s="43">
        <v>0.625</v>
      </c>
      <c r="J42" s="4">
        <v>30</v>
      </c>
      <c r="K42" s="43"/>
      <c r="L42" s="43">
        <v>0.60416666666666663</v>
      </c>
      <c r="M42" s="43">
        <v>0.625</v>
      </c>
      <c r="N42" s="4">
        <v>30</v>
      </c>
      <c r="O42" s="4" t="s">
        <v>291</v>
      </c>
      <c r="P42" s="4" t="s">
        <v>681</v>
      </c>
      <c r="Q42" s="4"/>
      <c r="R42" s="4"/>
      <c r="S42" s="4"/>
      <c r="T42" s="48">
        <v>32</v>
      </c>
      <c r="U42" s="4">
        <v>48</v>
      </c>
      <c r="V42" s="4">
        <f>T42*S42</f>
        <v>0</v>
      </c>
      <c r="W42" s="4">
        <f>U42*S42</f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43">
        <v>0.60069444444444442</v>
      </c>
      <c r="I43" s="43">
        <v>0.64236111111111105</v>
      </c>
      <c r="J43" s="4">
        <v>60</v>
      </c>
      <c r="K43" s="43"/>
      <c r="L43" s="43">
        <v>0.60069444444444442</v>
      </c>
      <c r="M43" s="43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8">
        <v>32</v>
      </c>
      <c r="U43" s="4">
        <v>48</v>
      </c>
      <c r="V43" s="4">
        <f>T43*S43</f>
        <v>0</v>
      </c>
      <c r="W43" s="4">
        <f>U43*S43</f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45">
        <v>0.64583333333333337</v>
      </c>
      <c r="I44" s="43">
        <v>0.6875</v>
      </c>
      <c r="J44" s="4">
        <v>60</v>
      </c>
      <c r="K44" s="43"/>
      <c r="L44" s="45">
        <v>0.64583333333333337</v>
      </c>
      <c r="M44" s="43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8">
        <v>32</v>
      </c>
      <c r="U44" s="4">
        <v>48</v>
      </c>
      <c r="V44" s="4">
        <f>T44*S44</f>
        <v>0</v>
      </c>
      <c r="W44" s="4">
        <f>U44*S44</f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45">
        <v>0.41666666666666669</v>
      </c>
      <c r="I45" s="43">
        <v>0.4375</v>
      </c>
      <c r="J45" s="4">
        <v>30</v>
      </c>
      <c r="K45" s="43"/>
      <c r="L45" s="45">
        <v>0.41666666666666669</v>
      </c>
      <c r="M45" s="43">
        <v>0.4375</v>
      </c>
      <c r="N45" s="4">
        <v>30</v>
      </c>
      <c r="O45" s="6" t="s">
        <v>146</v>
      </c>
      <c r="P45" s="4"/>
      <c r="Q45" s="4"/>
      <c r="R45" s="4"/>
      <c r="S45" s="4"/>
      <c r="T45" s="48">
        <v>27</v>
      </c>
      <c r="U45" s="4">
        <v>48</v>
      </c>
      <c r="V45" s="4">
        <f>T45*S45</f>
        <v>0</v>
      </c>
      <c r="W45" s="4">
        <f>U45*S45</f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43">
        <v>0.3125</v>
      </c>
      <c r="I46" s="43">
        <v>0.32291666666666669</v>
      </c>
      <c r="J46" s="4">
        <v>15</v>
      </c>
      <c r="K46" s="43"/>
      <c r="L46" s="43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8">
        <v>27</v>
      </c>
      <c r="U46" s="4">
        <v>48</v>
      </c>
      <c r="V46" s="4">
        <f>T46*S46</f>
        <v>0</v>
      </c>
      <c r="W46" s="4">
        <f>U46*S46</f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8">
        <v>27</v>
      </c>
      <c r="U47" s="4">
        <v>48</v>
      </c>
      <c r="V47" s="4">
        <f>T47*S47</f>
        <v>0</v>
      </c>
      <c r="W47" s="4">
        <f>U47*S47</f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43">
        <v>0.38541666666666669</v>
      </c>
      <c r="J48" s="4">
        <v>15</v>
      </c>
      <c r="K48" s="43"/>
      <c r="L48" s="43">
        <v>0.375</v>
      </c>
      <c r="M48" s="43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8">
        <v>27</v>
      </c>
      <c r="U48" s="4">
        <v>48</v>
      </c>
      <c r="V48" s="4">
        <f>T48*S48</f>
        <v>0</v>
      </c>
      <c r="W48" s="4">
        <f>U48*S48</f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45">
        <v>0.33333333333333331</v>
      </c>
      <c r="I49" s="43">
        <v>0.41666666666666663</v>
      </c>
      <c r="J49" s="4">
        <v>120</v>
      </c>
      <c r="K49" s="43"/>
      <c r="L49" s="45">
        <v>0.33333333333333331</v>
      </c>
      <c r="M49" s="43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8">
        <v>27</v>
      </c>
      <c r="U49" s="4">
        <v>48</v>
      </c>
      <c r="V49" s="4">
        <f>T49*S49</f>
        <v>0</v>
      </c>
      <c r="W49" s="4">
        <f>U49*S49</f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45">
        <v>0.48958333333333331</v>
      </c>
      <c r="I50" s="43">
        <v>0.57291666666666663</v>
      </c>
      <c r="J50" s="4">
        <v>120</v>
      </c>
      <c r="K50" s="43"/>
      <c r="L50" s="45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8">
        <v>30</v>
      </c>
      <c r="U50" s="4">
        <v>48</v>
      </c>
      <c r="V50" s="4">
        <f>T50*S50</f>
        <v>0</v>
      </c>
      <c r="W50" s="4">
        <f>U50*S50</f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43">
        <v>0.66666666666666663</v>
      </c>
      <c r="J51" s="4">
        <v>150</v>
      </c>
      <c r="K51" s="43"/>
      <c r="L51" s="45">
        <v>0.5625</v>
      </c>
      <c r="M51" s="43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8">
        <v>30</v>
      </c>
      <c r="U51" s="4">
        <v>48</v>
      </c>
      <c r="V51" s="4">
        <f>T51*S51</f>
        <v>0</v>
      </c>
      <c r="W51" s="4">
        <f>U51*S51</f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45">
        <v>0.58333333333333337</v>
      </c>
      <c r="I52" s="43">
        <v>0.60416666666666674</v>
      </c>
      <c r="J52" s="4">
        <v>30</v>
      </c>
      <c r="K52" s="43"/>
      <c r="L52" s="45">
        <v>0.58333333333333337</v>
      </c>
      <c r="M52" s="43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8">
        <v>30</v>
      </c>
      <c r="U52" s="4">
        <v>48</v>
      </c>
      <c r="V52" s="4">
        <f>T52*S52</f>
        <v>0</v>
      </c>
      <c r="W52" s="4">
        <f>U52*S52</f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45">
        <v>0.58333333333333337</v>
      </c>
      <c r="I53" s="43">
        <v>0.60416666666666663</v>
      </c>
      <c r="J53" s="4">
        <v>30</v>
      </c>
      <c r="K53" s="43"/>
      <c r="L53" s="45">
        <v>0.58333333333333337</v>
      </c>
      <c r="M53" s="43">
        <v>0.60416666666666663</v>
      </c>
      <c r="N53" s="4">
        <v>30</v>
      </c>
      <c r="O53" s="6" t="s">
        <v>378</v>
      </c>
      <c r="P53" s="4"/>
      <c r="Q53" s="4"/>
      <c r="R53" s="4"/>
      <c r="S53" s="4"/>
      <c r="T53" s="48">
        <v>30</v>
      </c>
      <c r="U53" s="4">
        <v>48</v>
      </c>
      <c r="V53" s="4">
        <f>T53*S53</f>
        <v>0</v>
      </c>
      <c r="W53" s="4">
        <f>U53*S53</f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45">
        <v>0.45833333333333331</v>
      </c>
      <c r="I54" s="43">
        <v>0.47916666666666663</v>
      </c>
      <c r="J54" s="4">
        <v>30</v>
      </c>
      <c r="K54" s="43"/>
      <c r="L54" s="45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4"/>
      <c r="T54" s="48">
        <v>30</v>
      </c>
      <c r="U54" s="4">
        <v>48</v>
      </c>
      <c r="V54" s="4">
        <f>T54*S54</f>
        <v>0</v>
      </c>
      <c r="W54" s="4">
        <f>U54*S54</f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43">
        <v>0.58333333333333337</v>
      </c>
      <c r="J55" s="4">
        <v>90</v>
      </c>
      <c r="K55" s="43"/>
      <c r="L55" s="45">
        <v>0.52083333333333337</v>
      </c>
      <c r="M55" s="43">
        <v>0.58333333333333337</v>
      </c>
      <c r="N55" s="4">
        <v>90</v>
      </c>
      <c r="O55" s="6" t="s">
        <v>26</v>
      </c>
      <c r="P55" s="4" t="s">
        <v>192</v>
      </c>
      <c r="Q55" s="4"/>
      <c r="R55" s="4"/>
      <c r="S55" s="4"/>
      <c r="T55" s="48">
        <v>30</v>
      </c>
      <c r="U55" s="4">
        <v>48</v>
      </c>
      <c r="V55" s="4">
        <f>T55*S55</f>
        <v>0</v>
      </c>
      <c r="W55" s="4">
        <f>U55*S55</f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45">
        <v>0.35416666666666669</v>
      </c>
      <c r="I56" s="43">
        <v>0.375</v>
      </c>
      <c r="J56" s="4">
        <v>30</v>
      </c>
      <c r="K56" s="43"/>
      <c r="L56" s="45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8">
        <v>30</v>
      </c>
      <c r="U56" s="4">
        <v>48</v>
      </c>
      <c r="V56" s="4">
        <f>T56*S56</f>
        <v>0</v>
      </c>
      <c r="W56" s="4">
        <f>U56*S56</f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43">
        <v>0.47916666666666669</v>
      </c>
      <c r="J57" s="4">
        <v>90</v>
      </c>
      <c r="K57" s="43"/>
      <c r="L57" s="45">
        <v>0.41666666666666669</v>
      </c>
      <c r="M57" s="43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8">
        <v>30</v>
      </c>
      <c r="U57" s="4">
        <v>48</v>
      </c>
      <c r="V57" s="4">
        <f>T57*S57</f>
        <v>0</v>
      </c>
      <c r="W57" s="4">
        <f>U57*S57</f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43">
        <v>0.35416666666666669</v>
      </c>
      <c r="I58" s="43">
        <v>0.45833333333333331</v>
      </c>
      <c r="J58" s="4">
        <v>150</v>
      </c>
      <c r="K58" s="43"/>
      <c r="L58" s="43">
        <v>0.35416666666666669</v>
      </c>
      <c r="M58" s="43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4"/>
      <c r="T58" s="48">
        <v>30</v>
      </c>
      <c r="U58" s="4">
        <v>48</v>
      </c>
      <c r="V58" s="4">
        <f>T58*S58</f>
        <v>0</v>
      </c>
      <c r="W58" s="4">
        <f>U58*S58</f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45">
        <v>0.63194444444444442</v>
      </c>
      <c r="I59" s="43">
        <v>0.73611111111111116</v>
      </c>
      <c r="J59" s="4">
        <v>150</v>
      </c>
      <c r="K59" s="43"/>
      <c r="L59" s="45">
        <v>0.63194444444444442</v>
      </c>
      <c r="M59" s="43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4"/>
      <c r="T59" s="48">
        <v>30</v>
      </c>
      <c r="U59" s="4">
        <v>48</v>
      </c>
      <c r="V59" s="4">
        <f>T59*S59</f>
        <v>0</v>
      </c>
      <c r="W59" s="4">
        <f>U59*S59</f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45">
        <v>0.32291666666666669</v>
      </c>
      <c r="I60" s="43">
        <v>0.375</v>
      </c>
      <c r="J60" s="4">
        <v>75</v>
      </c>
      <c r="K60" s="43"/>
      <c r="L60" s="45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8">
        <v>30</v>
      </c>
      <c r="U60" s="4">
        <v>48</v>
      </c>
      <c r="V60" s="4">
        <f>T60*S60</f>
        <v>0</v>
      </c>
      <c r="W60" s="4">
        <f>U60*S60</f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4"/>
      <c r="R61" s="4"/>
      <c r="S61" s="4"/>
      <c r="T61" s="48">
        <v>30</v>
      </c>
      <c r="U61" s="4">
        <v>48</v>
      </c>
      <c r="V61" s="4">
        <f>T61*S61</f>
        <v>0</v>
      </c>
      <c r="W61" s="4">
        <f>U61*S61</f>
        <v>0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4"/>
      <c r="T62" s="48">
        <v>30</v>
      </c>
      <c r="U62" s="4">
        <v>48</v>
      </c>
      <c r="V62" s="4">
        <f>T62*S62</f>
        <v>0</v>
      </c>
      <c r="W62" s="4">
        <f>U62*S62</f>
        <v>0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43">
        <v>0.47222222222222221</v>
      </c>
      <c r="J63" s="4">
        <v>20</v>
      </c>
      <c r="K63" s="43"/>
      <c r="L63" s="43">
        <v>0.45833333333333331</v>
      </c>
      <c r="M63" s="43">
        <v>0.47222222222222221</v>
      </c>
      <c r="N63" s="4">
        <v>20</v>
      </c>
      <c r="O63" s="4" t="s">
        <v>181</v>
      </c>
      <c r="P63" s="4" t="s">
        <v>239</v>
      </c>
      <c r="Q63" s="4"/>
      <c r="R63" s="4"/>
      <c r="S63" s="4"/>
      <c r="T63" s="48">
        <v>30</v>
      </c>
      <c r="U63" s="4">
        <v>48</v>
      </c>
      <c r="V63" s="4">
        <f>T63*S63</f>
        <v>0</v>
      </c>
      <c r="W63" s="4">
        <f>U63*S63</f>
        <v>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45">
        <v>0.45833333333333331</v>
      </c>
      <c r="I64" s="43">
        <v>0.54166666666666663</v>
      </c>
      <c r="J64" s="4">
        <v>120</v>
      </c>
      <c r="K64" s="43"/>
      <c r="L64" s="45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4"/>
      <c r="T64" s="48">
        <v>30</v>
      </c>
      <c r="U64" s="4">
        <v>48</v>
      </c>
      <c r="V64" s="4">
        <f>T64*S64</f>
        <v>0</v>
      </c>
      <c r="W64" s="4">
        <f>U64*S64</f>
        <v>0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43">
        <v>0.54166666666666663</v>
      </c>
      <c r="J65" s="4">
        <v>60</v>
      </c>
      <c r="K65" s="43"/>
      <c r="L65" s="43">
        <v>0.5</v>
      </c>
      <c r="M65" s="43">
        <v>0.54166666666666663</v>
      </c>
      <c r="N65" s="4">
        <v>60</v>
      </c>
      <c r="O65" s="4" t="s">
        <v>26</v>
      </c>
      <c r="P65" s="4" t="s">
        <v>596</v>
      </c>
      <c r="Q65" s="4"/>
      <c r="R65" s="4"/>
      <c r="S65" s="4"/>
      <c r="T65" s="48">
        <v>30</v>
      </c>
      <c r="U65" s="4">
        <v>48</v>
      </c>
      <c r="V65" s="4">
        <f>T65*S65</f>
        <v>0</v>
      </c>
      <c r="W65" s="4">
        <f>U65*S65</f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45">
        <v>0.52083333333333337</v>
      </c>
      <c r="I66" s="43">
        <v>0.59027777777777779</v>
      </c>
      <c r="J66" s="4">
        <v>100</v>
      </c>
      <c r="K66" s="43"/>
      <c r="L66" s="45">
        <v>0.52083333333333337</v>
      </c>
      <c r="M66" s="43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8">
        <v>40</v>
      </c>
      <c r="U66" s="4">
        <v>48</v>
      </c>
      <c r="V66" s="4">
        <f>T66*S66</f>
        <v>0</v>
      </c>
      <c r="W66" s="4">
        <f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45">
        <v>0.4375</v>
      </c>
      <c r="I67" s="43">
        <v>0.46527777777777779</v>
      </c>
      <c r="J67" s="4">
        <v>40</v>
      </c>
      <c r="K67" s="43"/>
      <c r="L67" s="45">
        <v>0.4375</v>
      </c>
      <c r="M67" s="43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8">
        <v>40</v>
      </c>
      <c r="U67" s="4">
        <v>48</v>
      </c>
      <c r="V67" s="4">
        <f>T67*S67</f>
        <v>0</v>
      </c>
      <c r="W67" s="4">
        <f>U67*S67</f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45">
        <v>0.625</v>
      </c>
      <c r="I68" s="43">
        <v>0.64583333333333337</v>
      </c>
      <c r="J68" s="4">
        <v>30</v>
      </c>
      <c r="K68" s="43"/>
      <c r="L68" s="45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8">
        <v>40</v>
      </c>
      <c r="U68" s="4">
        <v>48</v>
      </c>
      <c r="V68" s="4">
        <f>T68*S68</f>
        <v>0</v>
      </c>
      <c r="W68" s="4">
        <f>U68*S68</f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43">
        <v>0.75</v>
      </c>
      <c r="J69" s="4">
        <v>90</v>
      </c>
      <c r="K69" s="43"/>
      <c r="L69" s="45">
        <v>0.6875</v>
      </c>
      <c r="M69" s="43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8">
        <v>40</v>
      </c>
      <c r="U69" s="4">
        <v>48</v>
      </c>
      <c r="V69" s="4">
        <f>T69*S69</f>
        <v>0</v>
      </c>
      <c r="W69" s="4">
        <f>U69*S69</f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45">
        <v>0.50694444444444442</v>
      </c>
      <c r="I70" s="43">
        <v>0.61111111111111105</v>
      </c>
      <c r="J70" s="4">
        <v>150</v>
      </c>
      <c r="K70" s="43"/>
      <c r="L70" s="45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8">
        <v>25</v>
      </c>
      <c r="U70" s="4">
        <v>48</v>
      </c>
      <c r="V70" s="4">
        <f>T70*S70</f>
        <v>0</v>
      </c>
      <c r="W70" s="4">
        <f>U70*S70</f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8">
        <v>25</v>
      </c>
      <c r="U71" s="4">
        <v>48</v>
      </c>
      <c r="V71" s="4">
        <f>T71*S71</f>
        <v>0</v>
      </c>
      <c r="W71" s="4">
        <f>U71*S71</f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43">
        <v>0.64583333333333337</v>
      </c>
      <c r="J72" s="4">
        <v>40</v>
      </c>
      <c r="K72" s="43"/>
      <c r="L72" s="45">
        <v>0.61805555555555558</v>
      </c>
      <c r="M72" s="43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8">
        <v>25</v>
      </c>
      <c r="U72" s="4">
        <v>48</v>
      </c>
      <c r="V72" s="4">
        <f>T72*S72</f>
        <v>0</v>
      </c>
      <c r="W72" s="4">
        <f>U72*S72</f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45">
        <v>0.41666666666666669</v>
      </c>
      <c r="I73" s="43">
        <v>0.45833333333333337</v>
      </c>
      <c r="J73" s="4">
        <v>60</v>
      </c>
      <c r="K73" s="43"/>
      <c r="L73" s="45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8">
        <v>25</v>
      </c>
      <c r="U73" s="4">
        <v>48</v>
      </c>
      <c r="V73" s="4">
        <f>T73*S73</f>
        <v>0</v>
      </c>
      <c r="W73" s="4">
        <f>U73*S73</f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43">
        <v>0.5</v>
      </c>
      <c r="J74" s="4">
        <v>60</v>
      </c>
      <c r="K74" s="43"/>
      <c r="L74" s="45">
        <v>0.45833333333333331</v>
      </c>
      <c r="M74" s="43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8">
        <v>25</v>
      </c>
      <c r="U74" s="4">
        <v>48</v>
      </c>
      <c r="V74" s="4">
        <f>T74*S74</f>
        <v>0</v>
      </c>
      <c r="W74" s="4">
        <f>U74*S74</f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43">
        <v>0.41666666666666669</v>
      </c>
      <c r="I75" s="43">
        <v>0.45833333333333331</v>
      </c>
      <c r="J75" s="4">
        <v>60</v>
      </c>
      <c r="K75" s="43"/>
      <c r="L75" s="43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8">
        <v>25</v>
      </c>
      <c r="U75" s="4">
        <v>48</v>
      </c>
      <c r="V75" s="4">
        <f>T75*S75</f>
        <v>0</v>
      </c>
      <c r="W75" s="4">
        <f>U75*S75</f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43">
        <v>0.47916666666666669</v>
      </c>
      <c r="J76" s="4">
        <v>30</v>
      </c>
      <c r="K76" s="43"/>
      <c r="L76" s="43">
        <v>0.45833333333333331</v>
      </c>
      <c r="M76" s="43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8">
        <v>25</v>
      </c>
      <c r="U76" s="4">
        <v>48</v>
      </c>
      <c r="V76" s="4">
        <f>T76*S76</f>
        <v>0</v>
      </c>
      <c r="W76" s="4">
        <f>U76*S76</f>
        <v>0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43">
        <v>0.5</v>
      </c>
      <c r="I77" s="43">
        <v>0.54166666666666663</v>
      </c>
      <c r="J77" s="4">
        <v>60</v>
      </c>
      <c r="K77" s="43"/>
      <c r="L77" s="43">
        <v>0.5</v>
      </c>
      <c r="M77" s="43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4"/>
      <c r="T77" s="48">
        <v>25</v>
      </c>
      <c r="U77" s="4">
        <v>48</v>
      </c>
      <c r="V77" s="4">
        <f>T77*S77</f>
        <v>0</v>
      </c>
      <c r="W77" s="4">
        <f>U77*S77</f>
        <v>0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45">
        <v>0.5625</v>
      </c>
      <c r="I78" s="43">
        <v>0.57291666666666663</v>
      </c>
      <c r="J78" s="4">
        <v>15</v>
      </c>
      <c r="K78" s="43"/>
      <c r="L78" s="45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4"/>
      <c r="T78" s="48">
        <v>25</v>
      </c>
      <c r="U78" s="4">
        <v>48</v>
      </c>
      <c r="V78" s="4">
        <f>T78*S78</f>
        <v>0</v>
      </c>
      <c r="W78" s="4">
        <f>U78*S78</f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4"/>
      <c r="T79" s="48">
        <v>25</v>
      </c>
      <c r="U79" s="4">
        <v>48</v>
      </c>
      <c r="V79" s="4">
        <f>T79*S79</f>
        <v>0</v>
      </c>
      <c r="W79" s="4">
        <f>U79*S79</f>
        <v>0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43">
        <v>0.625</v>
      </c>
      <c r="J80" s="4">
        <v>40</v>
      </c>
      <c r="K80" s="43"/>
      <c r="L80" s="43">
        <v>0.59722222222222221</v>
      </c>
      <c r="M80" s="43">
        <v>0.625</v>
      </c>
      <c r="N80" s="4">
        <v>40</v>
      </c>
      <c r="O80" s="6" t="s">
        <v>74</v>
      </c>
      <c r="P80" s="4" t="s">
        <v>91</v>
      </c>
      <c r="Q80" s="4"/>
      <c r="R80" s="4"/>
      <c r="S80" s="4"/>
      <c r="T80" s="48">
        <v>25</v>
      </c>
      <c r="U80" s="4">
        <v>48</v>
      </c>
      <c r="V80" s="4">
        <f>T80*S80</f>
        <v>0</v>
      </c>
      <c r="W80" s="4">
        <f>U80*S80</f>
        <v>0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45">
        <v>0.5625</v>
      </c>
      <c r="I81" s="43">
        <v>0.57291666666666663</v>
      </c>
      <c r="J81" s="4">
        <v>15</v>
      </c>
      <c r="K81" s="43"/>
      <c r="L81" s="45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8">
        <v>25</v>
      </c>
      <c r="U81" s="4">
        <v>48</v>
      </c>
      <c r="V81" s="4">
        <f>T81*S81</f>
        <v>0</v>
      </c>
      <c r="W81" s="4">
        <f>U81*S81</f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43">
        <v>0.625</v>
      </c>
      <c r="J82" s="4">
        <v>60</v>
      </c>
      <c r="K82" s="43"/>
      <c r="L82" s="45">
        <v>0.58333333333333337</v>
      </c>
      <c r="M82" s="43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8">
        <v>25</v>
      </c>
      <c r="U82" s="4">
        <v>48</v>
      </c>
      <c r="V82" s="4">
        <f>T82*S82</f>
        <v>0</v>
      </c>
      <c r="W82" s="4">
        <f>U82*S82</f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45">
        <v>0.5625</v>
      </c>
      <c r="I83" s="43">
        <v>0.58333333333333337</v>
      </c>
      <c r="J83" s="4">
        <v>30</v>
      </c>
      <c r="K83" s="43"/>
      <c r="L83" s="45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8">
        <v>25</v>
      </c>
      <c r="U83" s="4">
        <v>48</v>
      </c>
      <c r="V83" s="4">
        <f>T83*S83</f>
        <v>0</v>
      </c>
      <c r="W83" s="4">
        <f>U83*S83</f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43">
        <v>0.61458333333333337</v>
      </c>
      <c r="J84" s="4">
        <v>45</v>
      </c>
      <c r="K84" s="43"/>
      <c r="L84" s="45">
        <v>0.58333333333333337</v>
      </c>
      <c r="M84" s="43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8">
        <v>25</v>
      </c>
      <c r="U84" s="4">
        <v>48</v>
      </c>
      <c r="V84" s="4">
        <f>T84*S84</f>
        <v>0</v>
      </c>
      <c r="W84" s="4">
        <f>U84*S84</f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45">
        <v>0.52777777777777779</v>
      </c>
      <c r="I85" s="43">
        <v>0.63194444444444442</v>
      </c>
      <c r="J85" s="4">
        <v>150</v>
      </c>
      <c r="K85" s="43"/>
      <c r="L85" s="45">
        <v>0.52777777777777779</v>
      </c>
      <c r="M85" s="43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8">
        <v>25</v>
      </c>
      <c r="U85" s="4">
        <v>48</v>
      </c>
      <c r="V85" s="4">
        <f>T85*S85</f>
        <v>0</v>
      </c>
      <c r="W85" s="4">
        <f>U85*S85</f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43">
        <v>0.41666666666666669</v>
      </c>
      <c r="I86" s="43">
        <v>0.45833333333333337</v>
      </c>
      <c r="J86" s="4">
        <v>60</v>
      </c>
      <c r="K86" s="43"/>
      <c r="L86" s="43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4"/>
      <c r="T86" s="48">
        <v>28</v>
      </c>
      <c r="U86" s="4">
        <v>48</v>
      </c>
      <c r="V86" s="4">
        <f>T86*S86</f>
        <v>0</v>
      </c>
      <c r="W86" s="4">
        <f>U86*S86</f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4"/>
      <c r="T87" s="48">
        <v>28</v>
      </c>
      <c r="U87" s="4">
        <v>48</v>
      </c>
      <c r="V87" s="4">
        <f>T87*S87</f>
        <v>0</v>
      </c>
      <c r="W87" s="4">
        <f>U87*S87</f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4"/>
      <c r="R88" s="4"/>
      <c r="S88" s="4"/>
      <c r="T88" s="48">
        <v>28</v>
      </c>
      <c r="U88" s="4">
        <v>48</v>
      </c>
      <c r="V88" s="4">
        <f>T88*S88</f>
        <v>0</v>
      </c>
      <c r="W88" s="4">
        <f>U88*S88</f>
        <v>0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4"/>
      <c r="R89" s="4"/>
      <c r="S89" s="4"/>
      <c r="T89" s="48">
        <v>28</v>
      </c>
      <c r="U89" s="4">
        <v>48</v>
      </c>
      <c r="V89" s="4">
        <f>T89*S89</f>
        <v>0</v>
      </c>
      <c r="W89" s="4">
        <f>U89*S89</f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4"/>
      <c r="T90" s="48">
        <v>28</v>
      </c>
      <c r="U90" s="4">
        <v>48</v>
      </c>
      <c r="V90" s="4">
        <f>T90*S90</f>
        <v>0</v>
      </c>
      <c r="W90" s="4">
        <f>U90*S90</f>
        <v>0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4"/>
      <c r="T91" s="48">
        <v>28</v>
      </c>
      <c r="U91" s="4">
        <v>48</v>
      </c>
      <c r="V91" s="4">
        <f>T91*S91</f>
        <v>0</v>
      </c>
      <c r="W91" s="4">
        <f>U91*S91</f>
        <v>0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9"/>
      <c r="R92" s="9"/>
      <c r="S92" s="9"/>
      <c r="T92" s="49">
        <v>28</v>
      </c>
      <c r="U92" s="9">
        <v>48</v>
      </c>
      <c r="V92" s="4">
        <f>T92*S92</f>
        <v>0</v>
      </c>
      <c r="W92" s="4">
        <f>U92*S92</f>
        <v>0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46">
        <v>0.70833333333333337</v>
      </c>
      <c r="J93" s="9">
        <v>60</v>
      </c>
      <c r="K93" s="44"/>
      <c r="L93" s="46">
        <v>0.66666666666666663</v>
      </c>
      <c r="M93" s="4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9"/>
      <c r="T93" s="49">
        <v>28</v>
      </c>
      <c r="U93" s="9">
        <v>48</v>
      </c>
      <c r="V93" s="4">
        <f>T93*S93</f>
        <v>0</v>
      </c>
      <c r="W93" s="4">
        <f>U93*S93</f>
        <v>0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43">
        <v>0.36458333333333331</v>
      </c>
      <c r="I94" s="43">
        <v>0.375</v>
      </c>
      <c r="J94" s="4">
        <v>15</v>
      </c>
      <c r="K94" s="43"/>
      <c r="L94" s="43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4"/>
      <c r="T94" s="48">
        <v>28</v>
      </c>
      <c r="U94" s="4">
        <v>48</v>
      </c>
      <c r="V94" s="4">
        <f>T94*S94</f>
        <v>0</v>
      </c>
      <c r="W94" s="4">
        <f>U94*S94</f>
        <v>0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43">
        <v>0.41666666666666669</v>
      </c>
      <c r="J95" s="4">
        <v>60</v>
      </c>
      <c r="K95" s="43"/>
      <c r="L95" s="43">
        <v>0.375</v>
      </c>
      <c r="M95" s="43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4"/>
      <c r="T95" s="48">
        <v>28</v>
      </c>
      <c r="U95" s="4">
        <v>48</v>
      </c>
      <c r="V95" s="4">
        <f>T95*S95</f>
        <v>0</v>
      </c>
      <c r="W95" s="4">
        <f>U95*S95</f>
        <v>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45">
        <v>0.38541666666666669</v>
      </c>
      <c r="I96" s="43">
        <v>0.41666666666666669</v>
      </c>
      <c r="J96" s="4">
        <v>45</v>
      </c>
      <c r="K96" s="43"/>
      <c r="L96" s="45">
        <v>0.38541666666666669</v>
      </c>
      <c r="M96" s="43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4"/>
      <c r="T96" s="48">
        <v>28</v>
      </c>
      <c r="U96" s="4">
        <v>48</v>
      </c>
      <c r="V96" s="4">
        <f>T96*S96</f>
        <v>0</v>
      </c>
      <c r="W96" s="4">
        <f>U96*S96</f>
        <v>0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46">
        <v>0.48958333333333331</v>
      </c>
      <c r="I97" s="46">
        <v>0.52083333333333337</v>
      </c>
      <c r="J97" s="9">
        <v>45</v>
      </c>
      <c r="K97" s="44"/>
      <c r="L97" s="46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9"/>
      <c r="T97" s="49">
        <v>28</v>
      </c>
      <c r="U97" s="9">
        <v>48</v>
      </c>
      <c r="V97" s="4">
        <f>T97*S97</f>
        <v>0</v>
      </c>
      <c r="W97" s="4">
        <f>U97*S97</f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9"/>
      <c r="R98" s="9"/>
      <c r="S98" s="9"/>
      <c r="T98" s="49">
        <v>28</v>
      </c>
      <c r="U98" s="9">
        <v>48</v>
      </c>
      <c r="V98" s="4">
        <f>T98*S98</f>
        <v>0</v>
      </c>
      <c r="W98" s="4">
        <f>U98*S98</f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9"/>
      <c r="T99" s="49">
        <v>28</v>
      </c>
      <c r="U99" s="9">
        <v>48</v>
      </c>
      <c r="V99" s="4">
        <f>T99*S99</f>
        <v>0</v>
      </c>
      <c r="W99" s="4">
        <f>U99*S99</f>
        <v>0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4"/>
      <c r="T100" s="48">
        <v>28</v>
      </c>
      <c r="U100" s="4">
        <v>48</v>
      </c>
      <c r="V100" s="4">
        <f>T100*S100</f>
        <v>0</v>
      </c>
      <c r="W100" s="4">
        <f>U100*S100</f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43">
        <v>0.65625</v>
      </c>
      <c r="J101" s="4">
        <v>45</v>
      </c>
      <c r="K101" s="43"/>
      <c r="L101" s="43">
        <v>0.625</v>
      </c>
      <c r="M101" s="43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8">
        <v>28</v>
      </c>
      <c r="U101" s="4">
        <v>48</v>
      </c>
      <c r="V101" s="4">
        <f>T101*S101</f>
        <v>0</v>
      </c>
      <c r="W101" s="4">
        <f>U101*S101</f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43">
        <v>0.58680555555555558</v>
      </c>
      <c r="I102" s="43">
        <v>0.60763888888888884</v>
      </c>
      <c r="J102" s="4">
        <v>30</v>
      </c>
      <c r="K102" s="43"/>
      <c r="L102" s="43">
        <v>0.58680555555555558</v>
      </c>
      <c r="M102" s="43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4"/>
      <c r="T102" s="48">
        <v>28</v>
      </c>
      <c r="U102" s="4">
        <v>48</v>
      </c>
      <c r="V102" s="4">
        <f>T102*S102</f>
        <v>0</v>
      </c>
      <c r="W102" s="4">
        <f>U102*S102</f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43">
        <v>0.35416666666666669</v>
      </c>
      <c r="I103" s="43">
        <v>0.375</v>
      </c>
      <c r="J103" s="4">
        <v>30</v>
      </c>
      <c r="K103" s="43"/>
      <c r="L103" s="43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4"/>
      <c r="T103" s="48">
        <v>28</v>
      </c>
      <c r="U103" s="4">
        <v>48</v>
      </c>
      <c r="V103" s="4">
        <f>T103*S103</f>
        <v>0</v>
      </c>
      <c r="W103" s="4">
        <f>U103*S103</f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43">
        <v>0.39583333333333331</v>
      </c>
      <c r="J104" s="4">
        <v>15</v>
      </c>
      <c r="K104" s="43"/>
      <c r="L104" s="43">
        <v>0.38541666666666669</v>
      </c>
      <c r="M104" s="43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4"/>
      <c r="T104" s="48">
        <v>28</v>
      </c>
      <c r="U104" s="4">
        <v>48</v>
      </c>
      <c r="V104" s="4">
        <f>T104*S104</f>
        <v>0</v>
      </c>
      <c r="W104" s="4">
        <f>U104*S104</f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43">
        <v>0.54166666666666663</v>
      </c>
      <c r="I105" s="43">
        <v>0.58333333333333337</v>
      </c>
      <c r="J105" s="4">
        <v>60</v>
      </c>
      <c r="K105" s="43"/>
      <c r="L105" s="43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4"/>
      <c r="T105" s="48">
        <v>28</v>
      </c>
      <c r="U105" s="4">
        <v>48</v>
      </c>
      <c r="V105" s="4">
        <f>T105*S105</f>
        <v>0</v>
      </c>
      <c r="W105" s="4">
        <f>U105*S105</f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43">
        <v>0.59375</v>
      </c>
      <c r="J106" s="4">
        <v>15</v>
      </c>
      <c r="K106" s="43"/>
      <c r="L106" s="43">
        <v>0.58333333333333337</v>
      </c>
      <c r="M106" s="43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4"/>
      <c r="T106" s="48">
        <v>28</v>
      </c>
      <c r="U106" s="4">
        <v>48</v>
      </c>
      <c r="V106" s="4">
        <f>T106*S106</f>
        <v>0</v>
      </c>
      <c r="W106" s="4">
        <f>U106*S106</f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45">
        <v>0.66666666666666663</v>
      </c>
      <c r="I107" s="43">
        <v>0.71527777777777779</v>
      </c>
      <c r="J107" s="4">
        <v>70</v>
      </c>
      <c r="K107" s="43"/>
      <c r="L107" s="45">
        <v>0.66666666666666663</v>
      </c>
      <c r="M107" s="43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8">
        <v>30</v>
      </c>
      <c r="U107" s="4">
        <v>48</v>
      </c>
      <c r="V107" s="4">
        <f>T107*S107</f>
        <v>0</v>
      </c>
      <c r="W107" s="4">
        <f>U107*S107</f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43">
        <v>0.27083333333333331</v>
      </c>
      <c r="I108" s="43">
        <v>0.39583333333333331</v>
      </c>
      <c r="J108" s="4">
        <v>240</v>
      </c>
      <c r="K108" s="43"/>
      <c r="L108" s="43">
        <v>0.27083333333333331</v>
      </c>
      <c r="M108" s="43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8">
        <v>30</v>
      </c>
      <c r="U108" s="4">
        <v>48</v>
      </c>
      <c r="V108" s="4">
        <f>T108*S108</f>
        <v>0</v>
      </c>
      <c r="W108" s="4">
        <f>U108*S108</f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43">
        <v>0.52083333333333337</v>
      </c>
      <c r="I109" s="43">
        <v>0.54166666666666663</v>
      </c>
      <c r="J109" s="4">
        <v>30</v>
      </c>
      <c r="K109" s="43"/>
      <c r="L109" s="43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8">
        <v>30</v>
      </c>
      <c r="U109" s="4">
        <v>48</v>
      </c>
      <c r="V109" s="4">
        <f>T109*S109</f>
        <v>0</v>
      </c>
      <c r="W109" s="4">
        <f>U109*S109</f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8">
        <v>30</v>
      </c>
      <c r="U110" s="4">
        <v>48</v>
      </c>
      <c r="V110" s="4">
        <f>T110*S110</f>
        <v>0</v>
      </c>
      <c r="W110" s="4">
        <f>U110*S110</f>
        <v>0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4"/>
      <c r="R111" s="4"/>
      <c r="S111" s="4"/>
      <c r="T111" s="48">
        <v>30</v>
      </c>
      <c r="U111" s="4">
        <v>48</v>
      </c>
      <c r="V111" s="4">
        <f>T111*S111</f>
        <v>0</v>
      </c>
      <c r="W111" s="4">
        <f>U111*S111</f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43">
        <v>0.60416666666666674</v>
      </c>
      <c r="J112" s="4">
        <v>30</v>
      </c>
      <c r="K112" s="43"/>
      <c r="L112" s="43">
        <v>0.58333333333333337</v>
      </c>
      <c r="M112" s="43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4"/>
      <c r="T112" s="48">
        <v>30</v>
      </c>
      <c r="U112" s="4">
        <v>48</v>
      </c>
      <c r="V112" s="4">
        <f>T112*S112</f>
        <v>0</v>
      </c>
      <c r="W112" s="4">
        <f>U112*S112</f>
        <v>0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43">
        <v>0.625</v>
      </c>
      <c r="I113" s="43">
        <v>0.64583333333333337</v>
      </c>
      <c r="J113" s="4">
        <v>30</v>
      </c>
      <c r="K113" s="43"/>
      <c r="L113" s="43">
        <v>0.625</v>
      </c>
      <c r="M113" s="43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8">
        <v>30</v>
      </c>
      <c r="U113" s="4">
        <v>48</v>
      </c>
      <c r="V113" s="4">
        <f>T113*S113</f>
        <v>0</v>
      </c>
      <c r="W113" s="4">
        <f>U113*S113</f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45">
        <v>0.61111111111111105</v>
      </c>
      <c r="I114" s="43">
        <v>0.64583333333333326</v>
      </c>
      <c r="J114" s="4">
        <v>50</v>
      </c>
      <c r="K114" s="43"/>
      <c r="L114" s="45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8">
        <v>33</v>
      </c>
      <c r="U114" s="4">
        <v>48</v>
      </c>
      <c r="V114" s="4">
        <f>T114*S114</f>
        <v>0</v>
      </c>
      <c r="W114" s="4">
        <f>U114*S114</f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43">
        <v>0.6875</v>
      </c>
      <c r="J115" s="4">
        <v>60</v>
      </c>
      <c r="K115" s="43"/>
      <c r="L115" s="45">
        <v>0.64583333333333337</v>
      </c>
      <c r="M115" s="43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8">
        <v>33</v>
      </c>
      <c r="U115" s="4">
        <v>48</v>
      </c>
      <c r="V115" s="4">
        <f>T115*S115</f>
        <v>0</v>
      </c>
      <c r="W115" s="4">
        <f>U115*S115</f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43">
        <v>0.5625</v>
      </c>
      <c r="I116" s="43">
        <v>0.60416666666666663</v>
      </c>
      <c r="J116" s="4">
        <v>60</v>
      </c>
      <c r="K116" s="43"/>
      <c r="L116" s="43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4"/>
      <c r="T116" s="48">
        <v>33</v>
      </c>
      <c r="U116" s="4">
        <v>48</v>
      </c>
      <c r="V116" s="4">
        <f>T116*S116</f>
        <v>0</v>
      </c>
      <c r="W116" s="4">
        <f>U116*S116</f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43">
        <v>0.70833333333333326</v>
      </c>
      <c r="J117" s="4">
        <v>150</v>
      </c>
      <c r="K117" s="43"/>
      <c r="L117" s="43">
        <v>0.60416666666666663</v>
      </c>
      <c r="M117" s="43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4"/>
      <c r="T117" s="48">
        <v>33</v>
      </c>
      <c r="U117" s="4">
        <v>48</v>
      </c>
      <c r="V117" s="4">
        <f>T117*S117</f>
        <v>0</v>
      </c>
      <c r="W117" s="4">
        <f>U117*S117</f>
        <v>0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45">
        <v>0.41666666666666669</v>
      </c>
      <c r="I118" s="43">
        <v>0.44444444444444448</v>
      </c>
      <c r="J118" s="4">
        <v>40</v>
      </c>
      <c r="K118" s="43"/>
      <c r="L118" s="45">
        <v>0.41666666666666669</v>
      </c>
      <c r="M118" s="43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4"/>
      <c r="T118" s="48">
        <v>33</v>
      </c>
      <c r="U118" s="4">
        <v>48</v>
      </c>
      <c r="V118" s="4">
        <f>T118*S118</f>
        <v>0</v>
      </c>
      <c r="W118" s="4">
        <f>U118*S118</f>
        <v>0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45">
        <v>0.43055555555555558</v>
      </c>
      <c r="I119" s="43">
        <v>0.45833333333333337</v>
      </c>
      <c r="J119" s="4">
        <v>40</v>
      </c>
      <c r="K119" s="43"/>
      <c r="L119" s="45">
        <v>0.43055555555555558</v>
      </c>
      <c r="M119" s="43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8">
        <v>33</v>
      </c>
      <c r="U119" s="4">
        <v>48</v>
      </c>
      <c r="V119" s="4">
        <f>T119*S119</f>
        <v>0</v>
      </c>
      <c r="W119" s="4">
        <f>U119*S119</f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45">
        <v>0.66666666666666663</v>
      </c>
      <c r="I120" s="43">
        <v>0.6875</v>
      </c>
      <c r="J120" s="4">
        <v>30</v>
      </c>
      <c r="K120" s="43"/>
      <c r="L120" s="45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8">
        <v>32</v>
      </c>
      <c r="U120" s="4">
        <v>48</v>
      </c>
      <c r="V120" s="4">
        <f>T120*S120</f>
        <v>0</v>
      </c>
      <c r="W120" s="4">
        <f>U120*S120</f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43">
        <v>0.70833333333333337</v>
      </c>
      <c r="J121" s="4">
        <v>30</v>
      </c>
      <c r="K121" s="43"/>
      <c r="L121" s="45">
        <v>0.6875</v>
      </c>
      <c r="M121" s="43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8">
        <v>32</v>
      </c>
      <c r="U121" s="4">
        <v>48</v>
      </c>
      <c r="V121" s="4">
        <f>T121*S121</f>
        <v>0</v>
      </c>
      <c r="W121" s="4">
        <f>U121*S121</f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45">
        <v>0.61458333333333337</v>
      </c>
      <c r="I122" s="43">
        <v>0.65625</v>
      </c>
      <c r="J122" s="4">
        <v>60</v>
      </c>
      <c r="K122" s="43"/>
      <c r="L122" s="45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8">
        <v>40</v>
      </c>
      <c r="U122" s="4">
        <v>48</v>
      </c>
      <c r="V122" s="4">
        <f>T122*S122</f>
        <v>0</v>
      </c>
      <c r="W122" s="4">
        <f>U122*S122</f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43">
        <v>0.67708333333333337</v>
      </c>
      <c r="J123" s="4">
        <v>30</v>
      </c>
      <c r="K123" s="43"/>
      <c r="L123" s="45">
        <v>0.65625</v>
      </c>
      <c r="M123" s="43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8">
        <v>40</v>
      </c>
      <c r="U123" s="4">
        <v>48</v>
      </c>
      <c r="V123" s="4">
        <f>T123*S123</f>
        <v>0</v>
      </c>
      <c r="W123" s="4">
        <f>U123*S123</f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45">
        <v>0.41666666666666669</v>
      </c>
      <c r="I124" s="43">
        <v>0.47916666666666669</v>
      </c>
      <c r="J124" s="4">
        <v>90</v>
      </c>
      <c r="K124" s="43"/>
      <c r="L124" s="45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8">
        <v>37</v>
      </c>
      <c r="U124" s="4">
        <v>48</v>
      </c>
      <c r="V124" s="4">
        <f>T124*S124</f>
        <v>0</v>
      </c>
      <c r="W124" s="4">
        <f>U124*S124</f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8">
        <v>37</v>
      </c>
      <c r="U125" s="4">
        <v>48</v>
      </c>
      <c r="V125" s="4">
        <f>T125*S125</f>
        <v>0</v>
      </c>
      <c r="W125" s="4">
        <f>U125*S125</f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43">
        <v>0.5625</v>
      </c>
      <c r="J126" s="4">
        <v>15</v>
      </c>
      <c r="K126" s="43"/>
      <c r="L126" s="45">
        <v>0.55208333333333337</v>
      </c>
      <c r="M126" s="43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8">
        <v>37</v>
      </c>
      <c r="U126" s="4">
        <v>48</v>
      </c>
      <c r="V126" s="4">
        <f>T126*S126</f>
        <v>0</v>
      </c>
      <c r="W126" s="4">
        <f>U126*S126</f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45">
        <v>0.58333333333333337</v>
      </c>
      <c r="I127" s="43">
        <v>0.625</v>
      </c>
      <c r="J127" s="4">
        <v>60</v>
      </c>
      <c r="K127" s="43"/>
      <c r="L127" s="45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8">
        <v>37</v>
      </c>
      <c r="U127" s="4">
        <v>48</v>
      </c>
      <c r="V127" s="4">
        <f>T127*S127</f>
        <v>0</v>
      </c>
      <c r="W127" s="4">
        <f>U127*S127</f>
        <v>0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43">
        <v>0.65625</v>
      </c>
      <c r="J128" s="4">
        <v>45</v>
      </c>
      <c r="K128" s="43"/>
      <c r="L128" s="45">
        <v>0.625</v>
      </c>
      <c r="M128" s="43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4"/>
      <c r="T128" s="48">
        <v>37</v>
      </c>
      <c r="U128" s="4">
        <v>48</v>
      </c>
      <c r="V128" s="4">
        <f>T128*S128</f>
        <v>0</v>
      </c>
      <c r="W128" s="4">
        <f>U128*S128</f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45">
        <v>0.625</v>
      </c>
      <c r="I129" s="43">
        <v>0.64583333333333337</v>
      </c>
      <c r="J129" s="4">
        <v>30</v>
      </c>
      <c r="K129" s="43"/>
      <c r="L129" s="45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4"/>
      <c r="T129" s="48">
        <v>37</v>
      </c>
      <c r="U129" s="4">
        <v>48</v>
      </c>
      <c r="V129" s="4">
        <f>T129*S129</f>
        <v>0</v>
      </c>
      <c r="W129" s="4">
        <f>U129*S129</f>
        <v>0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43">
        <v>0.66666666666666663</v>
      </c>
      <c r="J130" s="4">
        <v>30</v>
      </c>
      <c r="K130" s="43"/>
      <c r="L130" s="43">
        <v>0.64583333333333337</v>
      </c>
      <c r="M130" s="43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4"/>
      <c r="T130" s="48">
        <v>37</v>
      </c>
      <c r="U130" s="4">
        <v>48</v>
      </c>
      <c r="V130" s="4">
        <f>T130*S130</f>
        <v>0</v>
      </c>
      <c r="W130" s="4">
        <f>U130*S130</f>
        <v>0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45">
        <v>0.54166666666666663</v>
      </c>
      <c r="I131" s="43">
        <v>0.5625</v>
      </c>
      <c r="J131" s="4">
        <v>30</v>
      </c>
      <c r="K131" s="43"/>
      <c r="L131" s="45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4"/>
      <c r="T131" s="48">
        <v>35</v>
      </c>
      <c r="U131" s="4">
        <v>48</v>
      </c>
      <c r="V131" s="4">
        <f>T131*S131</f>
        <v>0</v>
      </c>
      <c r="W131" s="4">
        <f>U131*S131</f>
        <v>0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8">
        <v>35</v>
      </c>
      <c r="U132" s="4">
        <v>48</v>
      </c>
      <c r="V132" s="4">
        <f>T132*S132</f>
        <v>0</v>
      </c>
      <c r="W132" s="4">
        <f>U132*S132</f>
        <v>0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4"/>
      <c r="R133" s="4"/>
      <c r="S133" s="4"/>
      <c r="T133" s="48">
        <v>35</v>
      </c>
      <c r="U133" s="4">
        <v>48</v>
      </c>
      <c r="V133" s="4">
        <f>T133*S133</f>
        <v>0</v>
      </c>
      <c r="W133" s="4">
        <f>U133*S133</f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4"/>
      <c r="T134" s="48">
        <v>35</v>
      </c>
      <c r="U134" s="4">
        <v>48</v>
      </c>
      <c r="V134" s="4">
        <f>T134*S134</f>
        <v>0</v>
      </c>
      <c r="W134" s="4">
        <f>U134*S134</f>
        <v>0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4"/>
      <c r="R135" s="4"/>
      <c r="S135" s="4"/>
      <c r="T135" s="48">
        <v>35</v>
      </c>
      <c r="U135" s="4">
        <v>48</v>
      </c>
      <c r="V135" s="4">
        <f>T135*S135</f>
        <v>0</v>
      </c>
      <c r="W135" s="4">
        <f>U135*S135</f>
        <v>0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4"/>
      <c r="R136" s="4"/>
      <c r="S136" s="4"/>
      <c r="T136" s="48">
        <v>35</v>
      </c>
      <c r="U136" s="4">
        <v>48</v>
      </c>
      <c r="V136" s="4">
        <f>T136*S136</f>
        <v>0</v>
      </c>
      <c r="W136" s="4">
        <f>U136*S136</f>
        <v>0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43">
        <v>0.83333333333333337</v>
      </c>
      <c r="J137" s="4">
        <v>120</v>
      </c>
      <c r="K137" s="43"/>
      <c r="L137" s="45">
        <v>0.75</v>
      </c>
      <c r="M137" s="43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8">
        <v>35</v>
      </c>
      <c r="U137" s="4">
        <v>48</v>
      </c>
      <c r="V137" s="4">
        <f>T137*S137</f>
        <v>0</v>
      </c>
      <c r="W137" s="4">
        <f>U137*S137</f>
        <v>0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45">
        <v>0.4236111111111111</v>
      </c>
      <c r="I138" s="43">
        <v>0.46527777777777779</v>
      </c>
      <c r="J138" s="4">
        <v>60</v>
      </c>
      <c r="K138" s="43"/>
      <c r="L138" s="45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8">
        <v>27</v>
      </c>
      <c r="U138" s="4">
        <v>48</v>
      </c>
      <c r="V138" s="4">
        <f>T138*S138</f>
        <v>0</v>
      </c>
      <c r="W138" s="4">
        <f>U138*S138</f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43">
        <v>0.54166666666666663</v>
      </c>
      <c r="J139" s="4">
        <v>60</v>
      </c>
      <c r="K139" s="43"/>
      <c r="L139" s="45">
        <v>0.5</v>
      </c>
      <c r="M139" s="43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8">
        <v>27</v>
      </c>
      <c r="U139" s="4">
        <v>48</v>
      </c>
      <c r="V139" s="4">
        <f>T139*S139</f>
        <v>0</v>
      </c>
      <c r="W139" s="4">
        <f>U139*S139</f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43">
        <v>0.42708333333333331</v>
      </c>
      <c r="I140" s="43">
        <v>0.4375</v>
      </c>
      <c r="J140" s="4">
        <v>15</v>
      </c>
      <c r="K140" s="43"/>
      <c r="L140" s="43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8">
        <v>27</v>
      </c>
      <c r="U140" s="4">
        <v>48</v>
      </c>
      <c r="V140" s="4">
        <f>T140*S140</f>
        <v>0</v>
      </c>
      <c r="W140" s="4">
        <f>U140*S140</f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8">
        <v>27</v>
      </c>
      <c r="U141" s="4">
        <v>48</v>
      </c>
      <c r="V141" s="4">
        <f>T141*S141</f>
        <v>0</v>
      </c>
      <c r="W141" s="4">
        <f>U141*S141</f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43">
        <v>0.5</v>
      </c>
      <c r="J142" s="4">
        <v>60</v>
      </c>
      <c r="K142" s="43"/>
      <c r="L142" s="43">
        <v>0.45833333333333331</v>
      </c>
      <c r="M142" s="43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8">
        <v>27</v>
      </c>
      <c r="U142" s="4">
        <v>48</v>
      </c>
      <c r="V142" s="4">
        <f>T142*S142</f>
        <v>0</v>
      </c>
      <c r="W142" s="4">
        <f>U142*S142</f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45">
        <v>0.47916666666666669</v>
      </c>
      <c r="I143" s="43">
        <v>0.5</v>
      </c>
      <c r="J143" s="4">
        <v>30</v>
      </c>
      <c r="K143" s="43"/>
      <c r="L143" s="45">
        <v>0.47916666666666669</v>
      </c>
      <c r="M143" s="43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8">
        <v>25</v>
      </c>
      <c r="U143" s="4">
        <v>48</v>
      </c>
      <c r="V143" s="4">
        <f>T143*S143</f>
        <v>0</v>
      </c>
      <c r="W143" s="4">
        <f>U143*S143</f>
        <v>0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45">
        <v>0.4201388888888889</v>
      </c>
      <c r="I144" s="43">
        <v>0.4375</v>
      </c>
      <c r="J144" s="4">
        <v>25</v>
      </c>
      <c r="K144" s="43"/>
      <c r="L144" s="45">
        <v>0.4201388888888889</v>
      </c>
      <c r="M144" s="43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"/>
      <c r="U144" s="4">
        <v>48</v>
      </c>
      <c r="V144" s="4">
        <f>T144*S144</f>
        <v>0</v>
      </c>
      <c r="W144" s="4">
        <f>U144*S144</f>
        <v>0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45">
        <v>0.39583333333333331</v>
      </c>
      <c r="I145" s="43">
        <v>0.41666666666666663</v>
      </c>
      <c r="J145" s="4">
        <v>30</v>
      </c>
      <c r="K145" s="43"/>
      <c r="L145" s="45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4"/>
      <c r="T145" s="48">
        <v>25</v>
      </c>
      <c r="U145" s="4">
        <v>48</v>
      </c>
      <c r="V145" s="4">
        <f>T145*S145</f>
        <v>0</v>
      </c>
      <c r="W145" s="4">
        <f>U145*S145</f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4"/>
      <c r="T146" s="48">
        <v>25</v>
      </c>
      <c r="U146" s="4">
        <v>48</v>
      </c>
      <c r="V146" s="4">
        <f>T146*S146</f>
        <v>0</v>
      </c>
      <c r="W146" s="4">
        <f>U146*S146</f>
        <v>0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43">
        <v>0.58333333333333337</v>
      </c>
      <c r="J147" s="4">
        <v>120</v>
      </c>
      <c r="K147" s="43"/>
      <c r="L147" s="45">
        <v>0.5</v>
      </c>
      <c r="M147" s="43">
        <v>0.58333333333333337</v>
      </c>
      <c r="N147" s="4">
        <v>120</v>
      </c>
      <c r="O147" s="6" t="s">
        <v>26</v>
      </c>
      <c r="P147" s="4" t="s">
        <v>175</v>
      </c>
      <c r="Q147" s="4"/>
      <c r="R147" s="4"/>
      <c r="S147" s="4"/>
      <c r="T147" s="48">
        <v>25</v>
      </c>
      <c r="U147" s="4">
        <v>48</v>
      </c>
      <c r="V147" s="4">
        <f>T147*S147</f>
        <v>0</v>
      </c>
      <c r="W147" s="4">
        <f>U147*S147</f>
        <v>0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45">
        <v>0.54166666666666663</v>
      </c>
      <c r="I148" s="44">
        <v>0.55208333333333337</v>
      </c>
      <c r="J148" s="9">
        <v>15</v>
      </c>
      <c r="K148" s="44"/>
      <c r="L148" s="45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9"/>
      <c r="T148" s="49">
        <v>27</v>
      </c>
      <c r="U148" s="9">
        <v>48</v>
      </c>
      <c r="V148" s="4">
        <f>T148*S148</f>
        <v>0</v>
      </c>
      <c r="W148" s="4">
        <f>U148*S148</f>
        <v>0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44">
        <v>0.60416666666666663</v>
      </c>
      <c r="J149" s="9">
        <v>60</v>
      </c>
      <c r="K149" s="44"/>
      <c r="L149" s="45">
        <v>0.5625</v>
      </c>
      <c r="M149" s="44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9"/>
      <c r="T149" s="49">
        <v>27</v>
      </c>
      <c r="U149" s="9">
        <v>48</v>
      </c>
      <c r="V149" s="4">
        <f>T149*S149</f>
        <v>0</v>
      </c>
      <c r="W149" s="4">
        <f>U149*S149</f>
        <v>0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45">
        <v>0.625</v>
      </c>
      <c r="I150" s="43">
        <v>0.66666666666666663</v>
      </c>
      <c r="J150" s="4">
        <v>60</v>
      </c>
      <c r="K150" s="43"/>
      <c r="L150" s="45">
        <v>0.625</v>
      </c>
      <c r="M150" s="43">
        <v>0.66666666666666663</v>
      </c>
      <c r="N150" s="4">
        <v>60</v>
      </c>
      <c r="O150" s="6" t="s">
        <v>693</v>
      </c>
      <c r="P150" s="4"/>
      <c r="Q150" s="4"/>
      <c r="R150" s="4"/>
      <c r="S150" s="4"/>
      <c r="T150" s="48">
        <v>27</v>
      </c>
      <c r="U150" s="4">
        <v>48</v>
      </c>
      <c r="V150" s="4">
        <f>T150*S150</f>
        <v>0</v>
      </c>
      <c r="W150" s="4">
        <f>U150*S150</f>
        <v>0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43">
        <v>0.58333333333333337</v>
      </c>
      <c r="I151" s="43">
        <v>0.60416666666666674</v>
      </c>
      <c r="J151" s="4">
        <v>30</v>
      </c>
      <c r="K151" s="43"/>
      <c r="L151" s="43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8">
        <v>35</v>
      </c>
      <c r="U151" s="4">
        <v>48</v>
      </c>
      <c r="V151" s="4">
        <f>T151*S151</f>
        <v>0</v>
      </c>
      <c r="W151" s="4">
        <f>U151*S151</f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8">
        <v>35</v>
      </c>
      <c r="U152" s="4">
        <v>48</v>
      </c>
      <c r="V152" s="4">
        <f>T152*S152</f>
        <v>0</v>
      </c>
      <c r="W152" s="4">
        <f>U152*S152</f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43">
        <v>0.64583333333333337</v>
      </c>
      <c r="J153" s="4">
        <v>30</v>
      </c>
      <c r="K153" s="43"/>
      <c r="L153" s="43">
        <v>0.625</v>
      </c>
      <c r="M153" s="43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8">
        <v>35</v>
      </c>
      <c r="U153" s="4">
        <v>48</v>
      </c>
      <c r="V153" s="4">
        <f>T153*S153</f>
        <v>0</v>
      </c>
      <c r="W153" s="4">
        <f>U153*S153</f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45">
        <v>0.45833333333333331</v>
      </c>
      <c r="I154" s="43">
        <v>0.47916666666666663</v>
      </c>
      <c r="J154" s="4">
        <v>30</v>
      </c>
      <c r="K154" s="43"/>
      <c r="L154" s="45">
        <v>0.45833333333333331</v>
      </c>
      <c r="M154" s="43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4"/>
      <c r="T154" s="4"/>
      <c r="U154" s="4">
        <v>48</v>
      </c>
      <c r="V154" s="4">
        <f>T154*S154</f>
        <v>0</v>
      </c>
      <c r="W154" s="4">
        <f>U154*S154</f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45">
        <v>0.375</v>
      </c>
      <c r="I155" s="43">
        <v>0.38541666666666669</v>
      </c>
      <c r="J155" s="4">
        <v>15</v>
      </c>
      <c r="K155" s="43"/>
      <c r="L155" s="45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4"/>
      <c r="T155" s="4"/>
      <c r="U155" s="4">
        <v>48</v>
      </c>
      <c r="V155" s="4">
        <f>T155*S155</f>
        <v>0</v>
      </c>
      <c r="W155" s="4">
        <f>U155*S155</f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4"/>
      <c r="T156" s="4"/>
      <c r="U156" s="4">
        <v>48</v>
      </c>
      <c r="V156" s="4">
        <f>T156*S156</f>
        <v>0</v>
      </c>
      <c r="W156" s="4">
        <f>U156*S156</f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43">
        <v>0.45833333333333331</v>
      </c>
      <c r="J157" s="4">
        <v>90</v>
      </c>
      <c r="K157" s="43"/>
      <c r="L157" s="45">
        <v>0.39583333333333331</v>
      </c>
      <c r="M157" s="43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4"/>
      <c r="T157" s="4"/>
      <c r="U157" s="4">
        <v>48</v>
      </c>
      <c r="V157" s="4">
        <f>T157*S157</f>
        <v>0</v>
      </c>
      <c r="W157" s="4">
        <f>U157*S157</f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46">
        <v>0.45833333333333331</v>
      </c>
      <c r="I158" s="46">
        <v>0.6875</v>
      </c>
      <c r="J158" s="21">
        <v>330</v>
      </c>
      <c r="K158" s="46"/>
      <c r="L158" s="46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51">
        <v>30</v>
      </c>
      <c r="U158" s="21">
        <v>48</v>
      </c>
      <c r="V158" s="4">
        <f>T158*S158</f>
        <v>0</v>
      </c>
      <c r="W158" s="4">
        <f>U158*S158</f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43">
        <v>0.69791666666666663</v>
      </c>
      <c r="J159" s="4">
        <v>15</v>
      </c>
      <c r="K159" s="43"/>
      <c r="L159" s="45">
        <v>0.6875</v>
      </c>
      <c r="M159" s="43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8">
        <v>30</v>
      </c>
      <c r="U159" s="4">
        <v>48</v>
      </c>
      <c r="V159" s="4">
        <f>T159*S159</f>
        <v>0</v>
      </c>
      <c r="W159" s="4">
        <f>U159*S159</f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43">
        <v>0.39583333333333331</v>
      </c>
      <c r="I160" s="43">
        <v>0.40625</v>
      </c>
      <c r="J160" s="4">
        <v>15</v>
      </c>
      <c r="K160" s="43"/>
      <c r="L160" s="43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4"/>
      <c r="T160" s="48">
        <v>25</v>
      </c>
      <c r="U160" s="4">
        <v>48</v>
      </c>
      <c r="V160" s="4">
        <f>T160*S160</f>
        <v>0</v>
      </c>
      <c r="W160" s="4">
        <f>U160*S160</f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4"/>
      <c r="R161" s="4"/>
      <c r="S161" s="4"/>
      <c r="T161" s="48">
        <v>25</v>
      </c>
      <c r="U161" s="4">
        <v>48</v>
      </c>
      <c r="V161" s="4">
        <f>T161*S161</f>
        <v>0</v>
      </c>
      <c r="W161" s="4">
        <f>U161*S161</f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4"/>
      <c r="R162" s="4"/>
      <c r="S162" s="4"/>
      <c r="T162" s="48">
        <v>25</v>
      </c>
      <c r="U162" s="4">
        <v>48</v>
      </c>
      <c r="V162" s="4">
        <f>T162*S162</f>
        <v>0</v>
      </c>
      <c r="W162" s="4">
        <f>U162*S162</f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8">
        <v>25</v>
      </c>
      <c r="U163" s="4">
        <v>48</v>
      </c>
      <c r="V163" s="4">
        <f>T163*S163</f>
        <v>0</v>
      </c>
      <c r="W163" s="4">
        <f>U163*S163</f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43">
        <v>0.60416666666666674</v>
      </c>
      <c r="J164" s="4">
        <v>30</v>
      </c>
      <c r="K164" s="43"/>
      <c r="L164" s="43">
        <v>0.58333333333333337</v>
      </c>
      <c r="M164" s="43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8">
        <v>25</v>
      </c>
      <c r="U164" s="4">
        <v>48</v>
      </c>
      <c r="V164" s="4">
        <f>T164*S164</f>
        <v>0</v>
      </c>
      <c r="W164" s="4">
        <f>U164*S164</f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43">
        <v>0.35416666666666669</v>
      </c>
      <c r="I165" s="43">
        <v>0.45833333333333331</v>
      </c>
      <c r="J165" s="4">
        <v>150</v>
      </c>
      <c r="K165" s="43"/>
      <c r="L165" s="43">
        <v>0.35416666666666669</v>
      </c>
      <c r="M165" s="43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8">
        <v>25</v>
      </c>
      <c r="U165" s="4">
        <v>48</v>
      </c>
      <c r="V165" s="4">
        <f>T165*S165</f>
        <v>0</v>
      </c>
      <c r="W165" s="4">
        <f>U165*S165</f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45">
        <v>0.52777777777777779</v>
      </c>
      <c r="I166" s="43">
        <v>0.63194444444444442</v>
      </c>
      <c r="J166" s="4">
        <v>150</v>
      </c>
      <c r="K166" s="43"/>
      <c r="L166" s="45">
        <v>0.52777777777777779</v>
      </c>
      <c r="M166" s="43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8">
        <v>25</v>
      </c>
      <c r="U166" s="4">
        <v>48</v>
      </c>
      <c r="V166" s="4">
        <f>T166*S166</f>
        <v>0</v>
      </c>
      <c r="W166" s="4">
        <f>U166*S166</f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43">
        <v>0.625</v>
      </c>
      <c r="I167" s="43">
        <v>0.63541666666666663</v>
      </c>
      <c r="J167" s="4">
        <v>15</v>
      </c>
      <c r="K167" s="43"/>
      <c r="L167" s="43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8">
        <v>27</v>
      </c>
      <c r="U167" s="4">
        <v>48</v>
      </c>
      <c r="V167" s="4">
        <f>T167*S167</f>
        <v>0</v>
      </c>
      <c r="W167" s="4">
        <f>U167*S167</f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43">
        <v>0.77083333333333326</v>
      </c>
      <c r="J168" s="4">
        <v>150</v>
      </c>
      <c r="K168" s="43"/>
      <c r="L168" s="43">
        <v>0.66666666666666663</v>
      </c>
      <c r="M168" s="43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8">
        <v>27</v>
      </c>
      <c r="U168" s="4">
        <v>48</v>
      </c>
      <c r="V168" s="4">
        <f>T168*S168</f>
        <v>0</v>
      </c>
      <c r="W168" s="4">
        <f>U168*S168</f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45">
        <v>0.41666666666666669</v>
      </c>
      <c r="I169" s="43">
        <v>0.45833333333333337</v>
      </c>
      <c r="J169" s="4">
        <v>60</v>
      </c>
      <c r="K169" s="43"/>
      <c r="L169" s="45">
        <v>0.41666666666666669</v>
      </c>
      <c r="M169" s="43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8">
        <v>27</v>
      </c>
      <c r="U169" s="4">
        <v>48</v>
      </c>
      <c r="V169" s="4">
        <f>T169*S169</f>
        <v>0</v>
      </c>
      <c r="W169" s="4">
        <f>U169*S169</f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43">
        <v>0.64583333333333337</v>
      </c>
      <c r="I170" s="43">
        <v>0.66666666666666674</v>
      </c>
      <c r="J170" s="4">
        <v>30</v>
      </c>
      <c r="K170" s="43"/>
      <c r="L170" s="43">
        <v>0.64583333333333337</v>
      </c>
      <c r="M170" s="43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8">
        <v>27</v>
      </c>
      <c r="U170" s="4">
        <v>48</v>
      </c>
      <c r="V170" s="4">
        <f>T170*S170</f>
        <v>0</v>
      </c>
      <c r="W170" s="4">
        <f>U170*S170</f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43">
        <v>0.5</v>
      </c>
      <c r="I171" s="43">
        <v>0.6875</v>
      </c>
      <c r="J171" s="4">
        <v>270</v>
      </c>
      <c r="K171" s="43"/>
      <c r="L171" s="43">
        <v>0.5</v>
      </c>
      <c r="M171" s="43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8">
        <v>27</v>
      </c>
      <c r="U171" s="4">
        <v>48</v>
      </c>
      <c r="V171" s="4">
        <f>T171*S171</f>
        <v>0</v>
      </c>
      <c r="W171" s="4">
        <f>U171*S171</f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43">
        <v>0.375</v>
      </c>
      <c r="I172" s="43">
        <v>0.39583333333333331</v>
      </c>
      <c r="J172" s="4">
        <v>30</v>
      </c>
      <c r="K172" s="43"/>
      <c r="L172" s="43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8">
        <v>27</v>
      </c>
      <c r="U172" s="4">
        <v>48</v>
      </c>
      <c r="V172" s="4">
        <f>T172*S172</f>
        <v>0</v>
      </c>
      <c r="W172" s="4">
        <f>U172*S172</f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8">
        <v>27</v>
      </c>
      <c r="U173" s="4">
        <v>48</v>
      </c>
      <c r="V173" s="4">
        <f>T173*S173</f>
        <v>0</v>
      </c>
      <c r="W173" s="4">
        <f>U173*S173</f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43">
        <v>0.5</v>
      </c>
      <c r="J174" s="4">
        <v>90</v>
      </c>
      <c r="K174" s="43"/>
      <c r="L174" s="43">
        <v>0.4375</v>
      </c>
      <c r="M174" s="43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8">
        <v>27</v>
      </c>
      <c r="U174" s="4">
        <v>48</v>
      </c>
      <c r="V174" s="4">
        <f>T174*S174</f>
        <v>0</v>
      </c>
      <c r="W174" s="4">
        <f>U174*S174</f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45">
        <v>0.55208333333333337</v>
      </c>
      <c r="I175" s="43">
        <v>0.5625</v>
      </c>
      <c r="J175" s="4">
        <v>15</v>
      </c>
      <c r="K175" s="43"/>
      <c r="L175" s="45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8">
        <v>27</v>
      </c>
      <c r="U175" s="4">
        <v>48</v>
      </c>
      <c r="V175" s="4">
        <f>T175*S175</f>
        <v>0</v>
      </c>
      <c r="W175" s="4">
        <f>U175*S175</f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43">
        <v>0.61111111111111105</v>
      </c>
      <c r="J176" s="4">
        <v>60</v>
      </c>
      <c r="K176" s="43"/>
      <c r="L176" s="45">
        <v>0.56944444444444442</v>
      </c>
      <c r="M176" s="43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8">
        <v>27</v>
      </c>
      <c r="U176" s="4">
        <v>48</v>
      </c>
      <c r="V176" s="4">
        <f>T176*S176</f>
        <v>0</v>
      </c>
      <c r="W176" s="4">
        <f>U176*S176</f>
        <v>0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45">
        <v>0.6875</v>
      </c>
      <c r="I177" s="43">
        <v>0.70833333333333337</v>
      </c>
      <c r="J177" s="4">
        <v>30</v>
      </c>
      <c r="K177" s="43"/>
      <c r="L177" s="45">
        <v>0.6875</v>
      </c>
      <c r="M177" s="43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4"/>
      <c r="T177" s="48">
        <v>35</v>
      </c>
      <c r="U177" s="4">
        <v>48</v>
      </c>
      <c r="V177" s="4">
        <f>T177*S177</f>
        <v>0</v>
      </c>
      <c r="W177" s="4">
        <f>U177*S177</f>
        <v>0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45">
        <v>0.29166666666666669</v>
      </c>
      <c r="I178" s="43">
        <v>0.30208333333333331</v>
      </c>
      <c r="J178" s="4">
        <v>15</v>
      </c>
      <c r="K178" s="43"/>
      <c r="L178" s="45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4"/>
      <c r="T178" s="48">
        <v>35</v>
      </c>
      <c r="U178" s="4">
        <v>48</v>
      </c>
      <c r="V178" s="4">
        <f>T178*S178</f>
        <v>0</v>
      </c>
      <c r="W178" s="4">
        <f>U178*S178</f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4"/>
      <c r="T179" s="48">
        <v>35</v>
      </c>
      <c r="U179" s="4">
        <v>48</v>
      </c>
      <c r="V179" s="4">
        <f>T179*S179</f>
        <v>0</v>
      </c>
      <c r="W179" s="4">
        <f>U179*S179</f>
        <v>0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43">
        <v>0.45833333333333331</v>
      </c>
      <c r="J180" s="4">
        <v>120</v>
      </c>
      <c r="K180" s="43"/>
      <c r="L180" s="45">
        <v>0.39583333333333331</v>
      </c>
      <c r="M180" s="43">
        <v>0.45833333333333331</v>
      </c>
      <c r="N180" s="4">
        <v>120</v>
      </c>
      <c r="O180" s="6" t="s">
        <v>115</v>
      </c>
      <c r="P180" s="4"/>
      <c r="Q180" s="4"/>
      <c r="R180" s="4"/>
      <c r="S180" s="4"/>
      <c r="T180" s="48">
        <v>35</v>
      </c>
      <c r="U180" s="4">
        <v>48</v>
      </c>
      <c r="V180" s="4">
        <f>T180*S180</f>
        <v>0</v>
      </c>
      <c r="W180" s="4">
        <f>U180*S180</f>
        <v>0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43">
        <v>0.54166666666666663</v>
      </c>
      <c r="I181" s="43">
        <v>0.5625</v>
      </c>
      <c r="J181" s="4">
        <v>30</v>
      </c>
      <c r="K181" s="43"/>
      <c r="L181" s="43">
        <v>0.54166666666666663</v>
      </c>
      <c r="M181" s="43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4"/>
      <c r="T181" s="48">
        <v>30</v>
      </c>
      <c r="U181" s="4">
        <v>48</v>
      </c>
      <c r="V181" s="4">
        <f>T181*S181</f>
        <v>0</v>
      </c>
      <c r="W181" s="4">
        <f>U181*S181</f>
        <v>0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43">
        <v>0.5</v>
      </c>
      <c r="I182" s="43">
        <v>0.6875</v>
      </c>
      <c r="J182" s="4">
        <v>270</v>
      </c>
      <c r="K182" s="43"/>
      <c r="L182" s="43">
        <v>0.5</v>
      </c>
      <c r="M182" s="43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4"/>
      <c r="T182" s="48">
        <v>30</v>
      </c>
      <c r="U182" s="4">
        <v>48</v>
      </c>
      <c r="V182" s="4">
        <f>T182*S182</f>
        <v>0</v>
      </c>
      <c r="W182" s="4">
        <f>U182*S182</f>
        <v>0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43">
        <v>0.46875</v>
      </c>
      <c r="I183" s="43">
        <v>0.5</v>
      </c>
      <c r="J183" s="4">
        <v>45</v>
      </c>
      <c r="K183" s="43"/>
      <c r="L183" s="43">
        <v>0.46875</v>
      </c>
      <c r="M183" s="43">
        <v>0.5</v>
      </c>
      <c r="N183" s="4">
        <v>45</v>
      </c>
      <c r="O183" s="6" t="s">
        <v>290</v>
      </c>
      <c r="P183" s="4"/>
      <c r="Q183" s="4"/>
      <c r="R183" s="4"/>
      <c r="S183" s="4"/>
      <c r="T183" s="48">
        <v>30</v>
      </c>
      <c r="U183" s="4">
        <v>48</v>
      </c>
      <c r="V183" s="4">
        <f>T183*S183</f>
        <v>0</v>
      </c>
      <c r="W183" s="4">
        <f>U183*S183</f>
        <v>0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45">
        <v>0.3125</v>
      </c>
      <c r="I184" s="43">
        <v>0.41666666666666669</v>
      </c>
      <c r="J184" s="4">
        <v>150</v>
      </c>
      <c r="K184" s="43"/>
      <c r="L184" s="45">
        <v>0.3125</v>
      </c>
      <c r="M184" s="43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4"/>
      <c r="T184" s="48">
        <v>30</v>
      </c>
      <c r="U184" s="4">
        <v>48</v>
      </c>
      <c r="V184" s="4">
        <f>T184*S184</f>
        <v>0</v>
      </c>
      <c r="W184" s="4">
        <f>U184*S184</f>
        <v>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43">
        <v>0.45833333333333331</v>
      </c>
      <c r="I185" s="43">
        <v>0.48958333333333331</v>
      </c>
      <c r="J185" s="4">
        <v>45</v>
      </c>
      <c r="K185" s="43"/>
      <c r="L185" s="43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4"/>
      <c r="T185" s="48">
        <v>30</v>
      </c>
      <c r="U185" s="4">
        <v>48</v>
      </c>
      <c r="V185" s="4">
        <f>T185*S185</f>
        <v>0</v>
      </c>
      <c r="W185" s="4">
        <f>U185*S185</f>
        <v>0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43">
        <v>0.58333333333333326</v>
      </c>
      <c r="J186" s="4">
        <v>60</v>
      </c>
      <c r="K186" s="43"/>
      <c r="L186" s="43">
        <v>0.54166666666666663</v>
      </c>
      <c r="M186" s="43">
        <v>0.58333333333333326</v>
      </c>
      <c r="N186" s="4">
        <v>60</v>
      </c>
      <c r="O186" s="4" t="s">
        <v>110</v>
      </c>
      <c r="P186" s="4" t="s">
        <v>221</v>
      </c>
      <c r="Q186" s="4"/>
      <c r="R186" s="4"/>
      <c r="S186" s="4"/>
      <c r="T186" s="48">
        <v>30</v>
      </c>
      <c r="U186" s="4">
        <v>48</v>
      </c>
      <c r="V186" s="4">
        <f>T186*S186</f>
        <v>0</v>
      </c>
      <c r="W186" s="4">
        <f>U186*S186</f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45">
        <v>0.70833333333333337</v>
      </c>
      <c r="I187" s="43">
        <v>0.75</v>
      </c>
      <c r="J187" s="4">
        <v>60</v>
      </c>
      <c r="K187" s="43"/>
      <c r="L187" s="45">
        <v>0.70833333333333337</v>
      </c>
      <c r="M187" s="43">
        <v>0.75</v>
      </c>
      <c r="N187" s="4">
        <v>60</v>
      </c>
      <c r="O187" s="6" t="s">
        <v>26</v>
      </c>
      <c r="P187" s="4"/>
      <c r="Q187" s="4"/>
      <c r="R187" s="4"/>
      <c r="S187" s="4"/>
      <c r="T187" s="48">
        <v>30</v>
      </c>
      <c r="U187" s="4">
        <v>48</v>
      </c>
      <c r="V187" s="4">
        <f>T187*S187</f>
        <v>0</v>
      </c>
      <c r="W187" s="4">
        <f>U187*S187</f>
        <v>0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45">
        <v>0.6875</v>
      </c>
      <c r="I188" s="43">
        <v>0.70833333333333337</v>
      </c>
      <c r="J188" s="4">
        <v>60</v>
      </c>
      <c r="K188" s="43"/>
      <c r="L188" s="45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4"/>
      <c r="T188" s="48">
        <v>30</v>
      </c>
      <c r="U188" s="4">
        <v>48</v>
      </c>
      <c r="V188" s="4">
        <f>T188*S188</f>
        <v>0</v>
      </c>
      <c r="W188" s="4">
        <f>U188*S188</f>
        <v>0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43">
        <v>0.83333333333333337</v>
      </c>
      <c r="J189" s="4">
        <v>90</v>
      </c>
      <c r="K189" s="43"/>
      <c r="L189" s="45">
        <v>0.77083333333333337</v>
      </c>
      <c r="M189" s="43">
        <v>0.83333333333333337</v>
      </c>
      <c r="N189" s="4">
        <v>90</v>
      </c>
      <c r="O189" s="6" t="s">
        <v>26</v>
      </c>
      <c r="P189" s="4" t="s">
        <v>711</v>
      </c>
      <c r="Q189" s="4"/>
      <c r="R189" s="4"/>
      <c r="S189" s="4"/>
      <c r="T189" s="48">
        <v>30</v>
      </c>
      <c r="U189" s="4">
        <v>48</v>
      </c>
      <c r="V189" s="4">
        <f>T189*S189</f>
        <v>0</v>
      </c>
      <c r="W189" s="4">
        <f>U189*S189</f>
        <v>0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45">
        <v>0.35416666666666669</v>
      </c>
      <c r="I190" s="43">
        <v>0.375</v>
      </c>
      <c r="J190" s="4">
        <v>30</v>
      </c>
      <c r="K190" s="43"/>
      <c r="L190" s="45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4"/>
      <c r="T190" s="48">
        <v>30</v>
      </c>
      <c r="U190" s="4">
        <v>48</v>
      </c>
      <c r="V190" s="4">
        <f>T190*S190</f>
        <v>0</v>
      </c>
      <c r="W190" s="4">
        <f>U190*S190</f>
        <v>0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43">
        <v>0.4375</v>
      </c>
      <c r="J191" s="4">
        <v>60</v>
      </c>
      <c r="K191" s="43"/>
      <c r="L191" s="45">
        <v>0.39583333333333331</v>
      </c>
      <c r="M191" s="43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4"/>
      <c r="T191" s="48">
        <v>30</v>
      </c>
      <c r="U191" s="4">
        <v>48</v>
      </c>
      <c r="V191" s="4">
        <f>T191*S191</f>
        <v>0</v>
      </c>
      <c r="W191" s="4">
        <f>U191*S191</f>
        <v>0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43">
        <v>0.39583333333333331</v>
      </c>
      <c r="I192" s="43">
        <v>0.40625</v>
      </c>
      <c r="J192" s="4">
        <v>15</v>
      </c>
      <c r="K192" s="43"/>
      <c r="L192" s="43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4"/>
      <c r="T192" s="48">
        <v>30</v>
      </c>
      <c r="U192" s="4">
        <v>48</v>
      </c>
      <c r="V192" s="4">
        <f>T192*S192</f>
        <v>0</v>
      </c>
      <c r="W192" s="4">
        <f>U192*S192</f>
        <v>0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4"/>
      <c r="T193" s="48">
        <v>30</v>
      </c>
      <c r="U193" s="4">
        <v>48</v>
      </c>
      <c r="V193" s="4">
        <f>T193*S193</f>
        <v>0</v>
      </c>
      <c r="W193" s="4">
        <f>U193*S193</f>
        <v>0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43">
        <v>0.4375</v>
      </c>
      <c r="J194" s="4">
        <v>15</v>
      </c>
      <c r="K194" s="43"/>
      <c r="L194" s="45">
        <v>0.42708333333333331</v>
      </c>
      <c r="M194" s="43">
        <v>0.4375</v>
      </c>
      <c r="N194" s="4">
        <v>15</v>
      </c>
      <c r="O194" s="6" t="s">
        <v>46</v>
      </c>
      <c r="P194" s="4" t="s">
        <v>47</v>
      </c>
      <c r="Q194" s="4"/>
      <c r="R194" s="4"/>
      <c r="S194" s="4"/>
      <c r="T194" s="48">
        <v>30</v>
      </c>
      <c r="U194" s="4">
        <v>48</v>
      </c>
      <c r="V194" s="4">
        <f>T194*S194</f>
        <v>0</v>
      </c>
      <c r="W194" s="4">
        <f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43">
        <v>0.5</v>
      </c>
      <c r="I195" s="43">
        <v>0.6875</v>
      </c>
      <c r="J195" s="4">
        <v>270</v>
      </c>
      <c r="K195" s="43"/>
      <c r="L195" s="43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4"/>
      <c r="T195" s="48">
        <v>30</v>
      </c>
      <c r="U195" s="4">
        <v>48</v>
      </c>
      <c r="V195" s="4">
        <f>T195*S195</f>
        <v>0</v>
      </c>
      <c r="W195" s="4">
        <f>U195*S195</f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43">
        <v>0.58333333333333337</v>
      </c>
      <c r="J196" s="4">
        <v>30</v>
      </c>
      <c r="K196" s="43"/>
      <c r="L196" s="43">
        <v>0.5625</v>
      </c>
      <c r="M196" s="43">
        <v>0.58333333333333337</v>
      </c>
      <c r="N196" s="4">
        <v>30</v>
      </c>
      <c r="O196" s="4" t="s">
        <v>110</v>
      </c>
      <c r="P196" s="4" t="s">
        <v>160</v>
      </c>
      <c r="Q196" s="4"/>
      <c r="R196" s="4"/>
      <c r="S196" s="4"/>
      <c r="T196" s="48">
        <v>30</v>
      </c>
      <c r="U196" s="4">
        <v>48</v>
      </c>
      <c r="V196" s="4">
        <f>T196*S196</f>
        <v>0</v>
      </c>
      <c r="W196" s="4">
        <f>U196*S196</f>
        <v>0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43">
        <v>0.4375</v>
      </c>
      <c r="I197" s="43">
        <v>0.45833333333333331</v>
      </c>
      <c r="J197" s="4">
        <v>30</v>
      </c>
      <c r="K197" s="43"/>
      <c r="L197" s="43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4"/>
      <c r="T197" s="48">
        <v>30</v>
      </c>
      <c r="U197" s="4">
        <v>48</v>
      </c>
      <c r="V197" s="4">
        <f>T197*S197</f>
        <v>0</v>
      </c>
      <c r="W197" s="4">
        <f>U197*S197</f>
        <v>0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4"/>
      <c r="T198" s="48">
        <v>30</v>
      </c>
      <c r="U198" s="4">
        <v>48</v>
      </c>
      <c r="V198" s="4">
        <f>T198*S198</f>
        <v>0</v>
      </c>
      <c r="W198" s="4">
        <f>U198*S198</f>
        <v>0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43">
        <v>0.73958333333333337</v>
      </c>
      <c r="J199" s="4">
        <v>15</v>
      </c>
      <c r="K199" s="43"/>
      <c r="L199" s="43">
        <v>0.72916666666666663</v>
      </c>
      <c r="M199" s="43">
        <v>0.73958333333333337</v>
      </c>
      <c r="N199" s="4">
        <v>15</v>
      </c>
      <c r="O199" s="4" t="s">
        <v>26</v>
      </c>
      <c r="P199" s="4"/>
      <c r="Q199" s="4"/>
      <c r="R199" s="4"/>
      <c r="S199" s="4"/>
      <c r="T199" s="48">
        <v>30</v>
      </c>
      <c r="U199" s="4">
        <v>48</v>
      </c>
      <c r="V199" s="4">
        <f>T199*S199</f>
        <v>0</v>
      </c>
      <c r="W199" s="4">
        <f>U199*S199</f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43">
        <v>0.35416666666666669</v>
      </c>
      <c r="I200" s="43">
        <v>0.45833333333333331</v>
      </c>
      <c r="J200" s="4">
        <v>150</v>
      </c>
      <c r="K200" s="43"/>
      <c r="L200" s="43">
        <v>0.35416666666666669</v>
      </c>
      <c r="M200" s="43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"/>
      <c r="U200" s="4">
        <v>48</v>
      </c>
      <c r="V200" s="4">
        <f>T200*S200</f>
        <v>0</v>
      </c>
      <c r="W200" s="4">
        <f>U200*S200</f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45">
        <v>0.5625</v>
      </c>
      <c r="I201" s="43">
        <v>0.58333333333333337</v>
      </c>
      <c r="J201" s="4">
        <v>30</v>
      </c>
      <c r="K201" s="43"/>
      <c r="L201" s="45">
        <v>0.5625</v>
      </c>
      <c r="M201" s="43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8">
        <v>40</v>
      </c>
      <c r="U201" s="4">
        <v>48</v>
      </c>
      <c r="V201" s="4">
        <f>T201*S201</f>
        <v>0</v>
      </c>
      <c r="W201" s="4">
        <f>U201*S201</f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45">
        <v>0.375</v>
      </c>
      <c r="I202" s="43">
        <v>0.41666666666666669</v>
      </c>
      <c r="J202" s="4">
        <v>60</v>
      </c>
      <c r="K202" s="43"/>
      <c r="L202" s="45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8">
        <v>30</v>
      </c>
      <c r="U202" s="4">
        <v>48</v>
      </c>
      <c r="V202" s="4">
        <f>T202*S202</f>
        <v>0</v>
      </c>
      <c r="W202" s="4">
        <f>U202*S202</f>
        <v>0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43">
        <v>0.52083333333333337</v>
      </c>
      <c r="J203" s="4">
        <v>150</v>
      </c>
      <c r="K203" s="43"/>
      <c r="L203" s="45">
        <v>0.41666666666666669</v>
      </c>
      <c r="M203" s="43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4"/>
      <c r="T203" s="48">
        <v>30</v>
      </c>
      <c r="U203" s="4">
        <v>48</v>
      </c>
      <c r="V203" s="4">
        <f>T203*S203</f>
        <v>0</v>
      </c>
      <c r="W203" s="4">
        <f>U203*S203</f>
        <v>0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45">
        <v>0.66666666666666663</v>
      </c>
      <c r="I204" s="43">
        <v>0.6875</v>
      </c>
      <c r="J204" s="4">
        <v>30</v>
      </c>
      <c r="K204" s="43"/>
      <c r="L204" s="45">
        <v>0.66666666666666663</v>
      </c>
      <c r="M204" s="43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4"/>
      <c r="T204" s="48">
        <v>30</v>
      </c>
      <c r="U204" s="4">
        <v>48</v>
      </c>
      <c r="V204" s="4">
        <f>T204*S204</f>
        <v>0</v>
      </c>
      <c r="W204" s="4">
        <f>U204*S204</f>
        <v>0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45">
        <v>0.41666666666666669</v>
      </c>
      <c r="I205" s="43">
        <v>0.42708333333333337</v>
      </c>
      <c r="J205" s="4">
        <v>15</v>
      </c>
      <c r="K205" s="43"/>
      <c r="L205" s="45">
        <v>0.41666666666666669</v>
      </c>
      <c r="M205" s="43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8">
        <v>30</v>
      </c>
      <c r="U205" s="4">
        <v>48</v>
      </c>
      <c r="V205" s="4">
        <f>T205*S205</f>
        <v>0</v>
      </c>
      <c r="W205" s="4">
        <f>U205*S205</f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45">
        <v>0.5625</v>
      </c>
      <c r="I206" s="43">
        <v>0.58333333333333337</v>
      </c>
      <c r="J206" s="4">
        <v>30</v>
      </c>
      <c r="K206" s="43"/>
      <c r="L206" s="45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8">
        <v>32</v>
      </c>
      <c r="U206" s="4">
        <v>48</v>
      </c>
      <c r="V206" s="4">
        <f>T206*S206</f>
        <v>0</v>
      </c>
      <c r="W206" s="4">
        <f>U206*S206</f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43">
        <v>0.8125</v>
      </c>
      <c r="J207" s="4">
        <v>300</v>
      </c>
      <c r="K207" s="43"/>
      <c r="L207" s="45">
        <v>0.60416666666666663</v>
      </c>
      <c r="M207" s="43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8">
        <v>32</v>
      </c>
      <c r="U207" s="4">
        <v>48</v>
      </c>
      <c r="V207" s="4">
        <f>T207*S207</f>
        <v>0</v>
      </c>
      <c r="W207" s="4">
        <f>U207*S207</f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43">
        <v>0.45833333333333331</v>
      </c>
      <c r="I208" s="43">
        <v>0.5</v>
      </c>
      <c r="J208" s="4">
        <v>60</v>
      </c>
      <c r="K208" s="43"/>
      <c r="L208" s="43">
        <v>0.45833333333333331</v>
      </c>
      <c r="M208" s="43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4"/>
      <c r="T208" s="48">
        <v>32</v>
      </c>
      <c r="U208" s="4">
        <v>48</v>
      </c>
      <c r="V208" s="4">
        <f>T208*S208</f>
        <v>0</v>
      </c>
      <c r="W208" s="4">
        <f>U208*S208</f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45">
        <v>0.41666666666666669</v>
      </c>
      <c r="I209" s="43">
        <v>0.45833333333333337</v>
      </c>
      <c r="J209" s="4">
        <v>60</v>
      </c>
      <c r="K209" s="43"/>
      <c r="L209" s="45">
        <v>0.41666666666666669</v>
      </c>
      <c r="M209" s="43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4"/>
      <c r="T209" s="48">
        <v>32</v>
      </c>
      <c r="U209" s="4">
        <v>48</v>
      </c>
      <c r="V209" s="4">
        <f>T209*S209</f>
        <v>0</v>
      </c>
      <c r="W209" s="4">
        <f>U209*S209</f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45">
        <v>0.41666666666666669</v>
      </c>
      <c r="I210" s="43">
        <v>0.4375</v>
      </c>
      <c r="J210" s="4">
        <v>30</v>
      </c>
      <c r="K210" s="43"/>
      <c r="L210" s="45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8">
        <v>38</v>
      </c>
      <c r="U210" s="4">
        <v>48</v>
      </c>
      <c r="V210" s="4">
        <f>T210*S210</f>
        <v>0</v>
      </c>
      <c r="W210" s="4">
        <f>U210*S210</f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43">
        <v>0.58333333333333337</v>
      </c>
      <c r="J211" s="4">
        <v>150</v>
      </c>
      <c r="K211" s="43"/>
      <c r="L211" s="45">
        <v>0.47916666666666669</v>
      </c>
      <c r="M211" s="43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8">
        <v>38</v>
      </c>
      <c r="U211" s="4">
        <v>48</v>
      </c>
      <c r="V211" s="4">
        <f>T211*S211</f>
        <v>0</v>
      </c>
      <c r="W211" s="4">
        <f>U211*S211</f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45">
        <v>0.625</v>
      </c>
      <c r="I212" s="43">
        <v>0.64583333333333337</v>
      </c>
      <c r="J212" s="4">
        <v>30</v>
      </c>
      <c r="K212" s="43"/>
      <c r="L212" s="45">
        <v>0.625</v>
      </c>
      <c r="M212" s="43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8">
        <v>38</v>
      </c>
      <c r="U212" s="4">
        <v>48</v>
      </c>
      <c r="V212" s="4">
        <f>T212*S212</f>
        <v>0</v>
      </c>
      <c r="W212" s="4">
        <f>U212*S212</f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45">
        <v>0.64583333333333337</v>
      </c>
      <c r="I213" s="43">
        <v>0.66666666666666674</v>
      </c>
      <c r="J213" s="4">
        <v>30</v>
      </c>
      <c r="K213" s="43"/>
      <c r="L213" s="45">
        <v>0.64583333333333337</v>
      </c>
      <c r="M213" s="43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8">
        <v>38</v>
      </c>
      <c r="U213" s="4">
        <v>48</v>
      </c>
      <c r="V213" s="4">
        <f>T213*S213</f>
        <v>0</v>
      </c>
      <c r="W213" s="4">
        <f>U213*S213</f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45">
        <v>0.39583333333333331</v>
      </c>
      <c r="I214" s="43">
        <v>0.41666666666666663</v>
      </c>
      <c r="J214" s="4">
        <v>30</v>
      </c>
      <c r="K214" s="43"/>
      <c r="L214" s="45">
        <v>0.39583333333333331</v>
      </c>
      <c r="M214" s="43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8">
        <v>25</v>
      </c>
      <c r="U214" s="4">
        <v>48</v>
      </c>
      <c r="V214" s="4">
        <f>T214*S214</f>
        <v>0</v>
      </c>
      <c r="W214" s="4">
        <f>U214*S214</f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45">
        <v>0.41666666666666669</v>
      </c>
      <c r="I215" s="43">
        <v>0.4375</v>
      </c>
      <c r="J215" s="4">
        <v>30</v>
      </c>
      <c r="K215" s="43"/>
      <c r="L215" s="45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8">
        <v>30</v>
      </c>
      <c r="U215" s="4">
        <v>48</v>
      </c>
      <c r="V215" s="4">
        <f>T215*S215</f>
        <v>0</v>
      </c>
      <c r="W215" s="4">
        <f>U215*S215</f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43">
        <v>0.54166666666666674</v>
      </c>
      <c r="J216" s="4">
        <v>90</v>
      </c>
      <c r="K216" s="43"/>
      <c r="L216" s="45">
        <v>0.47916666666666669</v>
      </c>
      <c r="M216" s="43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8">
        <v>30</v>
      </c>
      <c r="U216" s="4">
        <v>48</v>
      </c>
      <c r="V216" s="4">
        <f>T216*S216</f>
        <v>0</v>
      </c>
      <c r="W216" s="4">
        <f>U216*S216</f>
        <v>0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216"/>
  <sheetViews>
    <sheetView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43">
        <v>0.58333333333333337</v>
      </c>
      <c r="I2" s="43">
        <v>0.61458333333333337</v>
      </c>
      <c r="J2" s="4">
        <v>45</v>
      </c>
      <c r="K2" s="43"/>
      <c r="L2" s="43">
        <v>0.58333333333333337</v>
      </c>
      <c r="M2" s="43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4"/>
      <c r="T2" s="48">
        <v>30</v>
      </c>
      <c r="U2" s="4">
        <v>48</v>
      </c>
      <c r="V2" s="4">
        <f>T2*S2</f>
        <v>0</v>
      </c>
      <c r="W2" s="4">
        <f>U2*S2</f>
        <v>0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44">
        <v>0.5625</v>
      </c>
      <c r="I3" s="44">
        <v>0.57291666666666663</v>
      </c>
      <c r="J3" s="9">
        <v>15</v>
      </c>
      <c r="K3" s="44"/>
      <c r="L3" s="44">
        <v>0.5625</v>
      </c>
      <c r="M3" s="44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9"/>
      <c r="T3" s="49">
        <v>30</v>
      </c>
      <c r="U3" s="9">
        <v>48</v>
      </c>
      <c r="V3" s="4">
        <f>T3*S3</f>
        <v>0</v>
      </c>
      <c r="W3" s="4">
        <f>U3*S3</f>
        <v>0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45">
        <v>0.39583333333333331</v>
      </c>
      <c r="I4" s="43">
        <v>0.41666666666666663</v>
      </c>
      <c r="J4" s="4">
        <v>30</v>
      </c>
      <c r="K4" s="43"/>
      <c r="L4" s="45">
        <v>0.39583333333333331</v>
      </c>
      <c r="M4" s="43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4"/>
      <c r="T4" s="48">
        <v>30</v>
      </c>
      <c r="U4" s="4">
        <v>48</v>
      </c>
      <c r="V4" s="4">
        <f>T4*S4</f>
        <v>0</v>
      </c>
      <c r="W4" s="4">
        <f>U4*S4</f>
        <v>0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43">
        <v>0.5625</v>
      </c>
      <c r="I5" s="43">
        <v>0.72916666666666663</v>
      </c>
      <c r="J5" s="4">
        <v>240</v>
      </c>
      <c r="K5" s="43"/>
      <c r="L5" s="43">
        <v>0.5625</v>
      </c>
      <c r="M5" s="43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4"/>
      <c r="T5" s="48">
        <v>30</v>
      </c>
      <c r="U5" s="4">
        <v>48</v>
      </c>
      <c r="V5" s="4">
        <f>T5*S5</f>
        <v>0</v>
      </c>
      <c r="W5" s="4">
        <f>U5*S5</f>
        <v>0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43">
        <v>0.47916666666666669</v>
      </c>
      <c r="I6" s="43">
        <v>0.49305555555555558</v>
      </c>
      <c r="J6" s="4">
        <v>20</v>
      </c>
      <c r="K6" s="43"/>
      <c r="L6" s="43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4"/>
      <c r="T6" s="48">
        <v>30</v>
      </c>
      <c r="U6" s="4">
        <v>48</v>
      </c>
      <c r="V6" s="4">
        <f>T6*S6</f>
        <v>0</v>
      </c>
      <c r="W6" s="4">
        <f>U6*S6</f>
        <v>0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43">
        <v>0.51388888888888884</v>
      </c>
      <c r="J7" s="4">
        <v>20</v>
      </c>
      <c r="K7" s="43"/>
      <c r="L7" s="45">
        <v>0.5</v>
      </c>
      <c r="M7" s="43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4"/>
      <c r="T7" s="48">
        <v>30</v>
      </c>
      <c r="U7" s="4">
        <v>48</v>
      </c>
      <c r="V7" s="4">
        <f>T7*S7</f>
        <v>0</v>
      </c>
      <c r="W7" s="4">
        <f>U7*S7</f>
        <v>0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45">
        <v>0.45833333333333331</v>
      </c>
      <c r="I8" s="43">
        <v>0.47916666666666663</v>
      </c>
      <c r="J8" s="4">
        <v>30</v>
      </c>
      <c r="K8" s="43"/>
      <c r="L8" s="45">
        <v>0.45833333333333331</v>
      </c>
      <c r="M8" s="43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4"/>
      <c r="T8" s="48">
        <v>30</v>
      </c>
      <c r="U8" s="4">
        <v>48</v>
      </c>
      <c r="V8" s="4">
        <f>T8*S8</f>
        <v>0</v>
      </c>
      <c r="W8" s="4">
        <f>U8*S8</f>
        <v>0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45">
        <v>0.375</v>
      </c>
      <c r="I9" s="43">
        <v>0.41666666666666669</v>
      </c>
      <c r="J9" s="4">
        <v>60</v>
      </c>
      <c r="K9" s="43"/>
      <c r="L9" s="45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4"/>
      <c r="T9" s="48">
        <v>30</v>
      </c>
      <c r="U9" s="4">
        <v>48</v>
      </c>
      <c r="V9" s="4">
        <f>T9*S9</f>
        <v>0</v>
      </c>
      <c r="W9" s="4">
        <f>U9*S9</f>
        <v>0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43">
        <v>0.45833333333333337</v>
      </c>
      <c r="J10" s="4">
        <v>60</v>
      </c>
      <c r="K10" s="43"/>
      <c r="L10" s="43">
        <v>0.41666666666666669</v>
      </c>
      <c r="M10" s="43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4"/>
      <c r="T10" s="48">
        <v>30</v>
      </c>
      <c r="U10" s="4">
        <v>48</v>
      </c>
      <c r="V10" s="4">
        <f>T10*S10</f>
        <v>0</v>
      </c>
      <c r="W10" s="4">
        <f>U10*S10</f>
        <v>0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43">
        <v>0.53125</v>
      </c>
      <c r="I11" s="43">
        <v>0.58333333333333337</v>
      </c>
      <c r="J11" s="4">
        <v>75</v>
      </c>
      <c r="K11" s="43"/>
      <c r="L11" s="43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4"/>
      <c r="T11" s="48">
        <v>30</v>
      </c>
      <c r="U11" s="4">
        <v>48</v>
      </c>
      <c r="V11" s="4">
        <f>T11*S11</f>
        <v>0</v>
      </c>
      <c r="W11" s="4">
        <f>U11*S11</f>
        <v>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43">
        <v>0.625</v>
      </c>
      <c r="J12" s="4">
        <v>60</v>
      </c>
      <c r="K12" s="43"/>
      <c r="L12" s="43">
        <v>0.58333333333333337</v>
      </c>
      <c r="M12" s="43">
        <v>0.625</v>
      </c>
      <c r="N12" s="4">
        <v>60</v>
      </c>
      <c r="O12" s="4" t="s">
        <v>167</v>
      </c>
      <c r="P12" s="4"/>
      <c r="Q12" s="4"/>
      <c r="R12" s="4"/>
      <c r="S12" s="4"/>
      <c r="T12" s="48">
        <v>30</v>
      </c>
      <c r="U12" s="4">
        <v>48</v>
      </c>
      <c r="V12" s="4">
        <f>T12*S12</f>
        <v>0</v>
      </c>
      <c r="W12" s="4">
        <f>U12*S12</f>
        <v>0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45">
        <v>0.40277777777777773</v>
      </c>
      <c r="I13" s="43">
        <v>0.42361111111111105</v>
      </c>
      <c r="J13" s="4">
        <v>30</v>
      </c>
      <c r="K13" s="43"/>
      <c r="L13" s="45">
        <v>0.40277777777777773</v>
      </c>
      <c r="M13" s="43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4"/>
      <c r="T13" s="48">
        <v>30</v>
      </c>
      <c r="U13" s="4">
        <v>48</v>
      </c>
      <c r="V13" s="4">
        <f>T13*S13</f>
        <v>0</v>
      </c>
      <c r="W13" s="4">
        <f>U13*S13</f>
        <v>0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45">
        <v>0.6875</v>
      </c>
      <c r="I14" s="43">
        <v>0.70833333333333337</v>
      </c>
      <c r="J14" s="4">
        <v>30</v>
      </c>
      <c r="K14" s="43"/>
      <c r="L14" s="45">
        <v>0.6875</v>
      </c>
      <c r="M14" s="43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4"/>
      <c r="T14" s="48">
        <v>32</v>
      </c>
      <c r="U14" s="4">
        <v>48</v>
      </c>
      <c r="V14" s="4">
        <f>T14*S14</f>
        <v>0</v>
      </c>
      <c r="W14" s="4">
        <f>U14*S14</f>
        <v>0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45">
        <v>0.63541666666666663</v>
      </c>
      <c r="I15" s="43">
        <v>0.65625</v>
      </c>
      <c r="J15" s="4">
        <v>45</v>
      </c>
      <c r="K15" s="43"/>
      <c r="L15" s="45">
        <v>0.63541666666666663</v>
      </c>
      <c r="M15" s="43">
        <v>0.65625</v>
      </c>
      <c r="N15" s="4">
        <v>45</v>
      </c>
      <c r="O15" s="6" t="s">
        <v>695</v>
      </c>
      <c r="P15" s="4"/>
      <c r="Q15" s="4"/>
      <c r="R15" s="4"/>
      <c r="S15" s="4"/>
      <c r="T15" s="48">
        <v>32</v>
      </c>
      <c r="U15" s="4">
        <v>48</v>
      </c>
      <c r="V15" s="4">
        <f>T15*S15</f>
        <v>0</v>
      </c>
      <c r="W15" s="4">
        <f>U15*S15</f>
        <v>0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45">
        <v>0.33333333333333331</v>
      </c>
      <c r="I16" s="43">
        <v>0.35416666666666663</v>
      </c>
      <c r="J16" s="4">
        <v>30</v>
      </c>
      <c r="K16" s="43"/>
      <c r="L16" s="45">
        <v>0.33333333333333331</v>
      </c>
      <c r="M16" s="43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4"/>
      <c r="T16" s="48">
        <v>32</v>
      </c>
      <c r="U16" s="4">
        <v>48</v>
      </c>
      <c r="V16" s="4">
        <f>T16*S16</f>
        <v>0</v>
      </c>
      <c r="W16" s="4">
        <f>U16*S16</f>
        <v>0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45">
        <v>0.36458333333333331</v>
      </c>
      <c r="I17" s="43">
        <v>0.375</v>
      </c>
      <c r="J17" s="4">
        <v>15</v>
      </c>
      <c r="K17" s="43"/>
      <c r="L17" s="45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4"/>
      <c r="T17" s="48">
        <v>32</v>
      </c>
      <c r="U17" s="4">
        <v>48</v>
      </c>
      <c r="V17" s="4">
        <f>T17*S17</f>
        <v>0</v>
      </c>
      <c r="W17" s="4">
        <f>U17*S17</f>
        <v>0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4"/>
      <c r="T18" s="48">
        <v>32</v>
      </c>
      <c r="U18" s="4">
        <v>48</v>
      </c>
      <c r="V18" s="4">
        <f>T18*S18</f>
        <v>0</v>
      </c>
      <c r="W18" s="4">
        <f>U18*S18</f>
        <v>0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43">
        <v>0.4236111111111111</v>
      </c>
      <c r="J19" s="4">
        <v>40</v>
      </c>
      <c r="K19" s="43"/>
      <c r="L19" s="45">
        <v>0.39583333333333331</v>
      </c>
      <c r="M19" s="43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8">
        <v>32</v>
      </c>
      <c r="U19" s="4">
        <v>48</v>
      </c>
      <c r="V19" s="4">
        <f>T19*S19</f>
        <v>0</v>
      </c>
      <c r="W19" s="4">
        <f>U19*S19</f>
        <v>0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45">
        <v>0.5</v>
      </c>
      <c r="I20" s="43">
        <v>0.51041666666666663</v>
      </c>
      <c r="J20" s="4">
        <v>15</v>
      </c>
      <c r="K20" s="43"/>
      <c r="L20" s="45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4"/>
      <c r="T20" s="48">
        <v>32</v>
      </c>
      <c r="U20" s="4">
        <v>48</v>
      </c>
      <c r="V20" s="4">
        <f>T20*S20</f>
        <v>0</v>
      </c>
      <c r="W20" s="4">
        <f>U20*S20</f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4"/>
      <c r="T21" s="48">
        <v>32</v>
      </c>
      <c r="U21" s="4">
        <v>48</v>
      </c>
      <c r="V21" s="4">
        <f>T21*S21</f>
        <v>0</v>
      </c>
      <c r="W21" s="4">
        <f>U21*S21</f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43">
        <v>0.54861111111111116</v>
      </c>
      <c r="J22" s="4">
        <v>40</v>
      </c>
      <c r="K22" s="43"/>
      <c r="L22" s="43">
        <v>0.52777777777777779</v>
      </c>
      <c r="M22" s="43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4"/>
      <c r="T22" s="48">
        <v>32</v>
      </c>
      <c r="U22" s="4">
        <v>48</v>
      </c>
      <c r="V22" s="4">
        <f>T22*S22</f>
        <v>0</v>
      </c>
      <c r="W22" s="4">
        <f>U22*S22</f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43">
        <v>0.55208333333333337</v>
      </c>
      <c r="I23" s="43">
        <v>0.5625</v>
      </c>
      <c r="J23" s="4">
        <v>15</v>
      </c>
      <c r="K23" s="43"/>
      <c r="L23" s="43">
        <v>0.55208333333333337</v>
      </c>
      <c r="M23" s="43">
        <v>0.5625</v>
      </c>
      <c r="N23" s="4">
        <v>15</v>
      </c>
      <c r="O23" s="4" t="s">
        <v>107</v>
      </c>
      <c r="P23" s="4" t="s">
        <v>523</v>
      </c>
      <c r="Q23" s="4"/>
      <c r="R23" s="4"/>
      <c r="S23" s="4"/>
      <c r="T23" s="48">
        <v>32</v>
      </c>
      <c r="U23" s="4">
        <v>48</v>
      </c>
      <c r="V23" s="4">
        <f>T23*S23</f>
        <v>0</v>
      </c>
      <c r="W23" s="4">
        <f>U23*S23</f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45">
        <v>0.4375</v>
      </c>
      <c r="I24" s="43">
        <v>0.45833333333333331</v>
      </c>
      <c r="J24" s="4">
        <v>30</v>
      </c>
      <c r="K24" s="43"/>
      <c r="L24" s="45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4"/>
      <c r="T24" s="48">
        <v>32</v>
      </c>
      <c r="U24" s="4">
        <v>48</v>
      </c>
      <c r="V24" s="4">
        <f>T24*S24</f>
        <v>0</v>
      </c>
      <c r="W24" s="4">
        <f>U24*S24</f>
        <v>0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43">
        <v>0.5</v>
      </c>
      <c r="J25" s="4">
        <v>45</v>
      </c>
      <c r="K25" s="43"/>
      <c r="L25" s="43">
        <v>0.46875</v>
      </c>
      <c r="M25" s="43">
        <v>0.5</v>
      </c>
      <c r="N25" s="4">
        <v>45</v>
      </c>
      <c r="O25" s="4" t="s">
        <v>82</v>
      </c>
      <c r="P25" s="4" t="s">
        <v>83</v>
      </c>
      <c r="Q25" s="4"/>
      <c r="R25" s="4"/>
      <c r="S25" s="4"/>
      <c r="T25" s="48">
        <v>32</v>
      </c>
      <c r="U25" s="4">
        <v>48</v>
      </c>
      <c r="V25" s="4">
        <f>T25*S25</f>
        <v>0</v>
      </c>
      <c r="W25" s="4">
        <f>U25*S25</f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45">
        <v>0.54166666666666663</v>
      </c>
      <c r="I26" s="43">
        <v>0.57638888888888895</v>
      </c>
      <c r="J26" s="4">
        <v>50</v>
      </c>
      <c r="K26" s="43"/>
      <c r="L26" s="45">
        <v>0.54166666666666663</v>
      </c>
      <c r="M26" s="43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4"/>
      <c r="T26" s="48">
        <v>32</v>
      </c>
      <c r="U26" s="4">
        <v>48</v>
      </c>
      <c r="V26" s="4">
        <f>T26*S26</f>
        <v>0</v>
      </c>
      <c r="W26" s="4">
        <f>U26*S26</f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45">
        <v>0.39583333333333331</v>
      </c>
      <c r="I27" s="43">
        <v>0.41666666666666663</v>
      </c>
      <c r="J27" s="4">
        <v>30</v>
      </c>
      <c r="K27" s="43"/>
      <c r="L27" s="45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4"/>
      <c r="T27" s="48">
        <v>32</v>
      </c>
      <c r="U27" s="4">
        <v>48</v>
      </c>
      <c r="V27" s="4">
        <f>T27*S27</f>
        <v>0</v>
      </c>
      <c r="W27" s="4">
        <f>U27*S27</f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43">
        <v>0.45833333333333337</v>
      </c>
      <c r="J28" s="4">
        <v>60</v>
      </c>
      <c r="K28" s="43"/>
      <c r="L28" s="45">
        <v>0.41666666666666669</v>
      </c>
      <c r="M28" s="43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4"/>
      <c r="T28" s="48">
        <v>32</v>
      </c>
      <c r="U28" s="4">
        <v>48</v>
      </c>
      <c r="V28" s="4">
        <f>T28*S28</f>
        <v>0</v>
      </c>
      <c r="W28" s="4">
        <f>U28*S28</f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43">
        <v>0.47916666666666669</v>
      </c>
      <c r="I29" s="43">
        <v>0.5</v>
      </c>
      <c r="J29" s="4">
        <v>30</v>
      </c>
      <c r="K29" s="43"/>
      <c r="L29" s="43">
        <v>0.47916666666666669</v>
      </c>
      <c r="M29" s="43">
        <v>0.5</v>
      </c>
      <c r="N29" s="4">
        <v>30</v>
      </c>
      <c r="O29" s="4" t="s">
        <v>156</v>
      </c>
      <c r="P29" s="4" t="s">
        <v>269</v>
      </c>
      <c r="Q29" s="4"/>
      <c r="R29" s="4"/>
      <c r="S29" s="4"/>
      <c r="T29" s="48">
        <v>32</v>
      </c>
      <c r="U29" s="4">
        <v>48</v>
      </c>
      <c r="V29" s="4">
        <f>T29*S29</f>
        <v>0</v>
      </c>
      <c r="W29" s="4">
        <f>U29*S29</f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45">
        <v>0.60416666666666663</v>
      </c>
      <c r="I30" s="43">
        <v>0.625</v>
      </c>
      <c r="J30" s="4">
        <v>30</v>
      </c>
      <c r="K30" s="43"/>
      <c r="L30" s="45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8">
        <v>32</v>
      </c>
      <c r="U30" s="4">
        <v>48</v>
      </c>
      <c r="V30" s="4">
        <f>T30*S30</f>
        <v>0</v>
      </c>
      <c r="W30" s="4">
        <f>U30*S30</f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43">
        <v>0.70833333333333337</v>
      </c>
      <c r="J31" s="4">
        <v>90</v>
      </c>
      <c r="K31" s="43"/>
      <c r="L31" s="45">
        <v>0.64583333333333337</v>
      </c>
      <c r="M31" s="43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8">
        <v>32</v>
      </c>
      <c r="U31" s="4">
        <v>48</v>
      </c>
      <c r="V31" s="4">
        <f>T31*S31</f>
        <v>0</v>
      </c>
      <c r="W31" s="4">
        <f>U31*S31</f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45">
        <v>0.64583333333333337</v>
      </c>
      <c r="I32" s="43">
        <v>0.6875</v>
      </c>
      <c r="J32" s="4">
        <v>60</v>
      </c>
      <c r="K32" s="43"/>
      <c r="L32" s="45">
        <v>0.64583333333333337</v>
      </c>
      <c r="M32" s="43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8">
        <v>32</v>
      </c>
      <c r="U32" s="4">
        <v>48</v>
      </c>
      <c r="V32" s="4">
        <f>T32*S32</f>
        <v>0</v>
      </c>
      <c r="W32" s="4">
        <f>U32*S32</f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45">
        <v>0.375</v>
      </c>
      <c r="I33" s="43">
        <v>0.38541666666666669</v>
      </c>
      <c r="J33" s="4">
        <v>15</v>
      </c>
      <c r="K33" s="43"/>
      <c r="L33" s="45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8">
        <v>32</v>
      </c>
      <c r="U33" s="4">
        <v>48</v>
      </c>
      <c r="V33" s="4">
        <f>T33*S33</f>
        <v>0</v>
      </c>
      <c r="W33" s="4">
        <f>U33*S33</f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8">
        <v>32</v>
      </c>
      <c r="U34" s="4">
        <v>48</v>
      </c>
      <c r="V34" s="4">
        <f>T34*S34</f>
        <v>0</v>
      </c>
      <c r="W34" s="4">
        <f>U34*S34</f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43">
        <v>0.43750000000000006</v>
      </c>
      <c r="J35" s="4">
        <v>40</v>
      </c>
      <c r="K35" s="43"/>
      <c r="L35" s="45">
        <v>0.40972222222222227</v>
      </c>
      <c r="M35" s="43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8">
        <v>32</v>
      </c>
      <c r="U35" s="4">
        <v>48</v>
      </c>
      <c r="V35" s="4">
        <f>T35*S35</f>
        <v>0</v>
      </c>
      <c r="W35" s="4">
        <f>U35*S35</f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45">
        <v>0.64583333333333337</v>
      </c>
      <c r="I36" s="43">
        <v>0.66666666666666674</v>
      </c>
      <c r="J36" s="4">
        <v>30</v>
      </c>
      <c r="K36" s="43"/>
      <c r="L36" s="45">
        <v>0.64583333333333337</v>
      </c>
      <c r="M36" s="43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8">
        <v>32</v>
      </c>
      <c r="U36" s="4">
        <v>48</v>
      </c>
      <c r="V36" s="4">
        <f>T36*S36</f>
        <v>0</v>
      </c>
      <c r="W36" s="4">
        <f>U36*S36</f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45">
        <v>0.64236111111111105</v>
      </c>
      <c r="I37" s="43">
        <v>0.66666666666666663</v>
      </c>
      <c r="J37" s="4">
        <v>35</v>
      </c>
      <c r="K37" s="43"/>
      <c r="L37" s="45">
        <v>0.64236111111111105</v>
      </c>
      <c r="M37" s="43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4"/>
      <c r="T37" s="48">
        <v>32</v>
      </c>
      <c r="U37" s="4">
        <v>48</v>
      </c>
      <c r="V37" s="4">
        <f>T37*S37</f>
        <v>0</v>
      </c>
      <c r="W37" s="4">
        <f>U37*S37</f>
        <v>0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45">
        <v>0.66666666666666663</v>
      </c>
      <c r="I38" s="43">
        <v>0.6875</v>
      </c>
      <c r="J38" s="4">
        <v>30</v>
      </c>
      <c r="K38" s="43"/>
      <c r="L38" s="45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4"/>
      <c r="T38" s="48">
        <v>32</v>
      </c>
      <c r="U38" s="4">
        <v>48</v>
      </c>
      <c r="V38" s="4">
        <f>T38*S38</f>
        <v>0</v>
      </c>
      <c r="W38" s="4">
        <f>U38*S38</f>
        <v>0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43">
        <v>0.70833333333333337</v>
      </c>
      <c r="J39" s="4">
        <v>30</v>
      </c>
      <c r="K39" s="43"/>
      <c r="L39" s="45">
        <v>0.6875</v>
      </c>
      <c r="M39" s="43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4"/>
      <c r="T39" s="48">
        <v>32</v>
      </c>
      <c r="U39" s="4">
        <v>48</v>
      </c>
      <c r="V39" s="4">
        <f>T39*S39</f>
        <v>0</v>
      </c>
      <c r="W39" s="4">
        <f>U39*S39</f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45">
        <v>0.54166666666666663</v>
      </c>
      <c r="I40" s="43">
        <v>0.5625</v>
      </c>
      <c r="J40" s="4">
        <v>30</v>
      </c>
      <c r="K40" s="43"/>
      <c r="L40" s="45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4"/>
      <c r="T40" s="48">
        <v>32</v>
      </c>
      <c r="U40" s="4">
        <v>48</v>
      </c>
      <c r="V40" s="4">
        <f>T40*S40</f>
        <v>0</v>
      </c>
      <c r="W40" s="4">
        <f>U40*S40</f>
        <v>0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43">
        <v>0.60416666666666663</v>
      </c>
      <c r="J41" s="4">
        <v>15</v>
      </c>
      <c r="K41" s="43"/>
      <c r="L41" s="45">
        <v>0.59375</v>
      </c>
      <c r="M41" s="43">
        <v>0.60416666666666663</v>
      </c>
      <c r="N41" s="4">
        <v>15</v>
      </c>
      <c r="O41" s="6" t="s">
        <v>26</v>
      </c>
      <c r="P41" s="4" t="s">
        <v>372</v>
      </c>
      <c r="Q41" s="4"/>
      <c r="R41" s="4"/>
      <c r="S41" s="4"/>
      <c r="T41" s="48">
        <v>32</v>
      </c>
      <c r="U41" s="4">
        <v>48</v>
      </c>
      <c r="V41" s="4">
        <f>T41*S41</f>
        <v>0</v>
      </c>
      <c r="W41" s="4">
        <f>U41*S41</f>
        <v>0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43">
        <v>0.60416666666666663</v>
      </c>
      <c r="I42" s="43">
        <v>0.625</v>
      </c>
      <c r="J42" s="4">
        <v>30</v>
      </c>
      <c r="K42" s="43"/>
      <c r="L42" s="43">
        <v>0.60416666666666663</v>
      </c>
      <c r="M42" s="43">
        <v>0.625</v>
      </c>
      <c r="N42" s="4">
        <v>30</v>
      </c>
      <c r="O42" s="4" t="s">
        <v>291</v>
      </c>
      <c r="P42" s="4" t="s">
        <v>681</v>
      </c>
      <c r="Q42" s="4"/>
      <c r="R42" s="4"/>
      <c r="S42" s="4"/>
      <c r="T42" s="48">
        <v>32</v>
      </c>
      <c r="U42" s="4">
        <v>48</v>
      </c>
      <c r="V42" s="4">
        <f>T42*S42</f>
        <v>0</v>
      </c>
      <c r="W42" s="4">
        <f>U42*S42</f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43">
        <v>0.60069444444444442</v>
      </c>
      <c r="I43" s="43">
        <v>0.64236111111111105</v>
      </c>
      <c r="J43" s="4">
        <v>60</v>
      </c>
      <c r="K43" s="43"/>
      <c r="L43" s="43">
        <v>0.60069444444444442</v>
      </c>
      <c r="M43" s="43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8">
        <v>32</v>
      </c>
      <c r="U43" s="4">
        <v>48</v>
      </c>
      <c r="V43" s="4">
        <f>T43*S43</f>
        <v>0</v>
      </c>
      <c r="W43" s="4">
        <f>U43*S43</f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45">
        <v>0.64583333333333337</v>
      </c>
      <c r="I44" s="43">
        <v>0.6875</v>
      </c>
      <c r="J44" s="4">
        <v>60</v>
      </c>
      <c r="K44" s="43"/>
      <c r="L44" s="45">
        <v>0.64583333333333337</v>
      </c>
      <c r="M44" s="43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8">
        <v>32</v>
      </c>
      <c r="U44" s="4">
        <v>48</v>
      </c>
      <c r="V44" s="4">
        <f>T44*S44</f>
        <v>0</v>
      </c>
      <c r="W44" s="4">
        <f>U44*S44</f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45">
        <v>0.41666666666666669</v>
      </c>
      <c r="I45" s="43">
        <v>0.4375</v>
      </c>
      <c r="J45" s="4">
        <v>30</v>
      </c>
      <c r="K45" s="43"/>
      <c r="L45" s="45">
        <v>0.41666666666666669</v>
      </c>
      <c r="M45" s="43">
        <v>0.4375</v>
      </c>
      <c r="N45" s="4">
        <v>30</v>
      </c>
      <c r="O45" s="6" t="s">
        <v>146</v>
      </c>
      <c r="P45" s="4"/>
      <c r="Q45" s="4"/>
      <c r="R45" s="4"/>
      <c r="S45" s="4"/>
      <c r="T45" s="48">
        <v>27</v>
      </c>
      <c r="U45" s="4">
        <v>48</v>
      </c>
      <c r="V45" s="4">
        <f>T45*S45</f>
        <v>0</v>
      </c>
      <c r="W45" s="4">
        <f>U45*S45</f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43">
        <v>0.3125</v>
      </c>
      <c r="I46" s="43">
        <v>0.32291666666666669</v>
      </c>
      <c r="J46" s="4">
        <v>15</v>
      </c>
      <c r="K46" s="43"/>
      <c r="L46" s="43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8">
        <v>27</v>
      </c>
      <c r="U46" s="4">
        <v>48</v>
      </c>
      <c r="V46" s="4">
        <f>T46*S46</f>
        <v>0</v>
      </c>
      <c r="W46" s="4">
        <f>U46*S46</f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8">
        <v>27</v>
      </c>
      <c r="U47" s="4">
        <v>48</v>
      </c>
      <c r="V47" s="4">
        <f>T47*S47</f>
        <v>0</v>
      </c>
      <c r="W47" s="4">
        <f>U47*S47</f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43">
        <v>0.38541666666666669</v>
      </c>
      <c r="J48" s="4">
        <v>15</v>
      </c>
      <c r="K48" s="43"/>
      <c r="L48" s="43">
        <v>0.375</v>
      </c>
      <c r="M48" s="43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8">
        <v>27</v>
      </c>
      <c r="U48" s="4">
        <v>48</v>
      </c>
      <c r="V48" s="4">
        <f>T48*S48</f>
        <v>0</v>
      </c>
      <c r="W48" s="4">
        <f>U48*S48</f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45">
        <v>0.33333333333333331</v>
      </c>
      <c r="I49" s="43">
        <v>0.41666666666666663</v>
      </c>
      <c r="J49" s="4">
        <v>120</v>
      </c>
      <c r="K49" s="43"/>
      <c r="L49" s="45">
        <v>0.33333333333333331</v>
      </c>
      <c r="M49" s="43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8">
        <v>27</v>
      </c>
      <c r="U49" s="4">
        <v>48</v>
      </c>
      <c r="V49" s="4">
        <f>T49*S49</f>
        <v>0</v>
      </c>
      <c r="W49" s="4">
        <f>U49*S49</f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45">
        <v>0.48958333333333331</v>
      </c>
      <c r="I50" s="43">
        <v>0.57291666666666663</v>
      </c>
      <c r="J50" s="4">
        <v>120</v>
      </c>
      <c r="K50" s="43"/>
      <c r="L50" s="45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8">
        <v>30</v>
      </c>
      <c r="U50" s="4">
        <v>48</v>
      </c>
      <c r="V50" s="4">
        <f>T50*S50</f>
        <v>0</v>
      </c>
      <c r="W50" s="4">
        <f>U50*S50</f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43">
        <v>0.66666666666666663</v>
      </c>
      <c r="J51" s="4">
        <v>150</v>
      </c>
      <c r="K51" s="43"/>
      <c r="L51" s="45">
        <v>0.5625</v>
      </c>
      <c r="M51" s="43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8">
        <v>30</v>
      </c>
      <c r="U51" s="4">
        <v>48</v>
      </c>
      <c r="V51" s="4">
        <f>T51*S51</f>
        <v>0</v>
      </c>
      <c r="W51" s="4">
        <f>U51*S51</f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45">
        <v>0.58333333333333337</v>
      </c>
      <c r="I52" s="43">
        <v>0.60416666666666674</v>
      </c>
      <c r="J52" s="4">
        <v>30</v>
      </c>
      <c r="K52" s="43"/>
      <c r="L52" s="45">
        <v>0.58333333333333337</v>
      </c>
      <c r="M52" s="43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8">
        <v>30</v>
      </c>
      <c r="U52" s="4">
        <v>48</v>
      </c>
      <c r="V52" s="4">
        <f>T52*S52</f>
        <v>0</v>
      </c>
      <c r="W52" s="4">
        <f>U52*S52</f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45">
        <v>0.58333333333333337</v>
      </c>
      <c r="I53" s="43">
        <v>0.60416666666666663</v>
      </c>
      <c r="J53" s="4">
        <v>30</v>
      </c>
      <c r="K53" s="43"/>
      <c r="L53" s="45">
        <v>0.58333333333333337</v>
      </c>
      <c r="M53" s="43">
        <v>0.60416666666666663</v>
      </c>
      <c r="N53" s="4">
        <v>30</v>
      </c>
      <c r="O53" s="6" t="s">
        <v>378</v>
      </c>
      <c r="P53" s="4"/>
      <c r="Q53" s="4"/>
      <c r="R53" s="4"/>
      <c r="S53" s="4"/>
      <c r="T53" s="48">
        <v>30</v>
      </c>
      <c r="U53" s="4">
        <v>48</v>
      </c>
      <c r="V53" s="4">
        <f>T53*S53</f>
        <v>0</v>
      </c>
      <c r="W53" s="4">
        <f>U53*S53</f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45">
        <v>0.45833333333333331</v>
      </c>
      <c r="I54" s="43">
        <v>0.47916666666666663</v>
      </c>
      <c r="J54" s="4">
        <v>30</v>
      </c>
      <c r="K54" s="43"/>
      <c r="L54" s="45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4"/>
      <c r="T54" s="48">
        <v>30</v>
      </c>
      <c r="U54" s="4">
        <v>48</v>
      </c>
      <c r="V54" s="4">
        <f>T54*S54</f>
        <v>0</v>
      </c>
      <c r="W54" s="4">
        <f>U54*S54</f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43">
        <v>0.58333333333333337</v>
      </c>
      <c r="J55" s="4">
        <v>90</v>
      </c>
      <c r="K55" s="43"/>
      <c r="L55" s="45">
        <v>0.52083333333333337</v>
      </c>
      <c r="M55" s="43">
        <v>0.58333333333333337</v>
      </c>
      <c r="N55" s="4">
        <v>90</v>
      </c>
      <c r="O55" s="6" t="s">
        <v>26</v>
      </c>
      <c r="P55" s="4" t="s">
        <v>192</v>
      </c>
      <c r="Q55" s="4"/>
      <c r="R55" s="4"/>
      <c r="S55" s="4"/>
      <c r="T55" s="48">
        <v>30</v>
      </c>
      <c r="U55" s="4">
        <v>48</v>
      </c>
      <c r="V55" s="4">
        <f>T55*S55</f>
        <v>0</v>
      </c>
      <c r="W55" s="4">
        <f>U55*S55</f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45">
        <v>0.35416666666666669</v>
      </c>
      <c r="I56" s="43">
        <v>0.375</v>
      </c>
      <c r="J56" s="4">
        <v>30</v>
      </c>
      <c r="K56" s="43"/>
      <c r="L56" s="45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8">
        <v>30</v>
      </c>
      <c r="U56" s="4">
        <v>48</v>
      </c>
      <c r="V56" s="4">
        <f>T56*S56</f>
        <v>0</v>
      </c>
      <c r="W56" s="4">
        <f>U56*S56</f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43">
        <v>0.47916666666666669</v>
      </c>
      <c r="J57" s="4">
        <v>90</v>
      </c>
      <c r="K57" s="43"/>
      <c r="L57" s="45">
        <v>0.41666666666666669</v>
      </c>
      <c r="M57" s="43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8">
        <v>30</v>
      </c>
      <c r="U57" s="4">
        <v>48</v>
      </c>
      <c r="V57" s="4">
        <f>T57*S57</f>
        <v>0</v>
      </c>
      <c r="W57" s="4">
        <f>U57*S57</f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43">
        <v>0.35416666666666669</v>
      </c>
      <c r="I58" s="43">
        <v>0.45833333333333331</v>
      </c>
      <c r="J58" s="4">
        <v>150</v>
      </c>
      <c r="K58" s="43"/>
      <c r="L58" s="43">
        <v>0.35416666666666669</v>
      </c>
      <c r="M58" s="43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4"/>
      <c r="T58" s="48">
        <v>30</v>
      </c>
      <c r="U58" s="4">
        <v>48</v>
      </c>
      <c r="V58" s="4">
        <f>T58*S58</f>
        <v>0</v>
      </c>
      <c r="W58" s="4">
        <f>U58*S58</f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45">
        <v>0.63194444444444442</v>
      </c>
      <c r="I59" s="43">
        <v>0.73611111111111116</v>
      </c>
      <c r="J59" s="4">
        <v>150</v>
      </c>
      <c r="K59" s="43"/>
      <c r="L59" s="45">
        <v>0.63194444444444442</v>
      </c>
      <c r="M59" s="43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4"/>
      <c r="T59" s="48">
        <v>30</v>
      </c>
      <c r="U59" s="4">
        <v>48</v>
      </c>
      <c r="V59" s="4">
        <f>T59*S59</f>
        <v>0</v>
      </c>
      <c r="W59" s="4">
        <f>U59*S59</f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45">
        <v>0.32291666666666669</v>
      </c>
      <c r="I60" s="43">
        <v>0.375</v>
      </c>
      <c r="J60" s="4">
        <v>75</v>
      </c>
      <c r="K60" s="43"/>
      <c r="L60" s="45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8">
        <v>30</v>
      </c>
      <c r="U60" s="4">
        <v>48</v>
      </c>
      <c r="V60" s="4">
        <f>T60*S60</f>
        <v>0</v>
      </c>
      <c r="W60" s="4">
        <f>U60*S60</f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4"/>
      <c r="R61" s="4"/>
      <c r="S61" s="4"/>
      <c r="T61" s="48">
        <v>30</v>
      </c>
      <c r="U61" s="4">
        <v>48</v>
      </c>
      <c r="V61" s="4">
        <f>T61*S61</f>
        <v>0</v>
      </c>
      <c r="W61" s="4">
        <f>U61*S61</f>
        <v>0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4"/>
      <c r="T62" s="48">
        <v>30</v>
      </c>
      <c r="U62" s="4">
        <v>48</v>
      </c>
      <c r="V62" s="4">
        <f>T62*S62</f>
        <v>0</v>
      </c>
      <c r="W62" s="4">
        <f>U62*S62</f>
        <v>0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43">
        <v>0.47222222222222221</v>
      </c>
      <c r="J63" s="4">
        <v>20</v>
      </c>
      <c r="K63" s="43"/>
      <c r="L63" s="43">
        <v>0.45833333333333331</v>
      </c>
      <c r="M63" s="43">
        <v>0.47222222222222221</v>
      </c>
      <c r="N63" s="4">
        <v>20</v>
      </c>
      <c r="O63" s="4" t="s">
        <v>181</v>
      </c>
      <c r="P63" s="4" t="s">
        <v>239</v>
      </c>
      <c r="Q63" s="4"/>
      <c r="R63" s="4"/>
      <c r="S63" s="4"/>
      <c r="T63" s="48">
        <v>30</v>
      </c>
      <c r="U63" s="4">
        <v>48</v>
      </c>
      <c r="V63" s="4">
        <f>T63*S63</f>
        <v>0</v>
      </c>
      <c r="W63" s="4">
        <f>U63*S63</f>
        <v>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45">
        <v>0.45833333333333331</v>
      </c>
      <c r="I64" s="43">
        <v>0.54166666666666663</v>
      </c>
      <c r="J64" s="4">
        <v>120</v>
      </c>
      <c r="K64" s="43"/>
      <c r="L64" s="45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4"/>
      <c r="T64" s="48">
        <v>30</v>
      </c>
      <c r="U64" s="4">
        <v>48</v>
      </c>
      <c r="V64" s="4">
        <f>T64*S64</f>
        <v>0</v>
      </c>
      <c r="W64" s="4">
        <f>U64*S64</f>
        <v>0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43">
        <v>0.54166666666666663</v>
      </c>
      <c r="J65" s="4">
        <v>60</v>
      </c>
      <c r="K65" s="43"/>
      <c r="L65" s="43">
        <v>0.5</v>
      </c>
      <c r="M65" s="43">
        <v>0.54166666666666663</v>
      </c>
      <c r="N65" s="4">
        <v>60</v>
      </c>
      <c r="O65" s="4" t="s">
        <v>26</v>
      </c>
      <c r="P65" s="4" t="s">
        <v>596</v>
      </c>
      <c r="Q65" s="4"/>
      <c r="R65" s="4"/>
      <c r="S65" s="4"/>
      <c r="T65" s="48">
        <v>30</v>
      </c>
      <c r="U65" s="4">
        <v>48</v>
      </c>
      <c r="V65" s="4">
        <f>T65*S65</f>
        <v>0</v>
      </c>
      <c r="W65" s="4">
        <f>U65*S65</f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45">
        <v>0.52083333333333337</v>
      </c>
      <c r="I66" s="43">
        <v>0.59027777777777779</v>
      </c>
      <c r="J66" s="4">
        <v>100</v>
      </c>
      <c r="K66" s="43"/>
      <c r="L66" s="45">
        <v>0.52083333333333337</v>
      </c>
      <c r="M66" s="43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8">
        <v>40</v>
      </c>
      <c r="U66" s="4">
        <v>48</v>
      </c>
      <c r="V66" s="4">
        <f>T66*S66</f>
        <v>0</v>
      </c>
      <c r="W66" s="4">
        <f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45">
        <v>0.4375</v>
      </c>
      <c r="I67" s="43">
        <v>0.46527777777777779</v>
      </c>
      <c r="J67" s="4">
        <v>40</v>
      </c>
      <c r="K67" s="43"/>
      <c r="L67" s="45">
        <v>0.4375</v>
      </c>
      <c r="M67" s="43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8">
        <v>40</v>
      </c>
      <c r="U67" s="4">
        <v>48</v>
      </c>
      <c r="V67" s="4">
        <f>T67*S67</f>
        <v>0</v>
      </c>
      <c r="W67" s="4">
        <f>U67*S67</f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45">
        <v>0.625</v>
      </c>
      <c r="I68" s="43">
        <v>0.64583333333333337</v>
      </c>
      <c r="J68" s="4">
        <v>30</v>
      </c>
      <c r="K68" s="43"/>
      <c r="L68" s="45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8">
        <v>40</v>
      </c>
      <c r="U68" s="4">
        <v>48</v>
      </c>
      <c r="V68" s="4">
        <f>T68*S68</f>
        <v>0</v>
      </c>
      <c r="W68" s="4">
        <f>U68*S68</f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43">
        <v>0.75</v>
      </c>
      <c r="J69" s="4">
        <v>90</v>
      </c>
      <c r="K69" s="43"/>
      <c r="L69" s="45">
        <v>0.6875</v>
      </c>
      <c r="M69" s="43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8">
        <v>40</v>
      </c>
      <c r="U69" s="4">
        <v>48</v>
      </c>
      <c r="V69" s="4">
        <f>T69*S69</f>
        <v>0</v>
      </c>
      <c r="W69" s="4">
        <f>U69*S69</f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45">
        <v>0.50694444444444442</v>
      </c>
      <c r="I70" s="43">
        <v>0.61111111111111105</v>
      </c>
      <c r="J70" s="4">
        <v>150</v>
      </c>
      <c r="K70" s="43"/>
      <c r="L70" s="45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8">
        <v>25</v>
      </c>
      <c r="U70" s="4">
        <v>48</v>
      </c>
      <c r="V70" s="4">
        <f>T70*S70</f>
        <v>0</v>
      </c>
      <c r="W70" s="4">
        <f>U70*S70</f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8">
        <v>25</v>
      </c>
      <c r="U71" s="4">
        <v>48</v>
      </c>
      <c r="V71" s="4">
        <f>T71*S71</f>
        <v>0</v>
      </c>
      <c r="W71" s="4">
        <f>U71*S71</f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43">
        <v>0.64583333333333337</v>
      </c>
      <c r="J72" s="4">
        <v>40</v>
      </c>
      <c r="K72" s="43"/>
      <c r="L72" s="45">
        <v>0.61805555555555558</v>
      </c>
      <c r="M72" s="43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8">
        <v>25</v>
      </c>
      <c r="U72" s="4">
        <v>48</v>
      </c>
      <c r="V72" s="4">
        <f>T72*S72</f>
        <v>0</v>
      </c>
      <c r="W72" s="4">
        <f>U72*S72</f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45">
        <v>0.41666666666666669</v>
      </c>
      <c r="I73" s="43">
        <v>0.45833333333333337</v>
      </c>
      <c r="J73" s="4">
        <v>60</v>
      </c>
      <c r="K73" s="43"/>
      <c r="L73" s="45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8">
        <v>25</v>
      </c>
      <c r="U73" s="4">
        <v>48</v>
      </c>
      <c r="V73" s="4">
        <f>T73*S73</f>
        <v>0</v>
      </c>
      <c r="W73" s="4">
        <f>U73*S73</f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43">
        <v>0.5</v>
      </c>
      <c r="J74" s="4">
        <v>60</v>
      </c>
      <c r="K74" s="43"/>
      <c r="L74" s="45">
        <v>0.45833333333333331</v>
      </c>
      <c r="M74" s="43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8">
        <v>25</v>
      </c>
      <c r="U74" s="4">
        <v>48</v>
      </c>
      <c r="V74" s="4">
        <f>T74*S74</f>
        <v>0</v>
      </c>
      <c r="W74" s="4">
        <f>U74*S74</f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43">
        <v>0.41666666666666669</v>
      </c>
      <c r="I75" s="43">
        <v>0.45833333333333331</v>
      </c>
      <c r="J75" s="4">
        <v>60</v>
      </c>
      <c r="K75" s="43"/>
      <c r="L75" s="43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8">
        <v>25</v>
      </c>
      <c r="U75" s="4">
        <v>48</v>
      </c>
      <c r="V75" s="4">
        <f>T75*S75</f>
        <v>0</v>
      </c>
      <c r="W75" s="4">
        <f>U75*S75</f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43">
        <v>0.47916666666666669</v>
      </c>
      <c r="J76" s="4">
        <v>30</v>
      </c>
      <c r="K76" s="43"/>
      <c r="L76" s="43">
        <v>0.45833333333333331</v>
      </c>
      <c r="M76" s="43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8">
        <v>25</v>
      </c>
      <c r="U76" s="4">
        <v>48</v>
      </c>
      <c r="V76" s="4">
        <f>T76*S76</f>
        <v>0</v>
      </c>
      <c r="W76" s="4">
        <f>U76*S76</f>
        <v>0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43">
        <v>0.5</v>
      </c>
      <c r="I77" s="43">
        <v>0.54166666666666663</v>
      </c>
      <c r="J77" s="4">
        <v>60</v>
      </c>
      <c r="K77" s="43"/>
      <c r="L77" s="43">
        <v>0.5</v>
      </c>
      <c r="M77" s="43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4"/>
      <c r="T77" s="48">
        <v>25</v>
      </c>
      <c r="U77" s="4">
        <v>48</v>
      </c>
      <c r="V77" s="4">
        <f>T77*S77</f>
        <v>0</v>
      </c>
      <c r="W77" s="4">
        <f>U77*S77</f>
        <v>0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45">
        <v>0.5625</v>
      </c>
      <c r="I78" s="43">
        <v>0.57291666666666663</v>
      </c>
      <c r="J78" s="4">
        <v>15</v>
      </c>
      <c r="K78" s="43"/>
      <c r="L78" s="45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4"/>
      <c r="T78" s="48">
        <v>25</v>
      </c>
      <c r="U78" s="4">
        <v>48</v>
      </c>
      <c r="V78" s="4">
        <f>T78*S78</f>
        <v>0</v>
      </c>
      <c r="W78" s="4">
        <f>U78*S78</f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4"/>
      <c r="T79" s="48">
        <v>25</v>
      </c>
      <c r="U79" s="4">
        <v>48</v>
      </c>
      <c r="V79" s="4">
        <f>T79*S79</f>
        <v>0</v>
      </c>
      <c r="W79" s="4">
        <f>U79*S79</f>
        <v>0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43">
        <v>0.625</v>
      </c>
      <c r="J80" s="4">
        <v>40</v>
      </c>
      <c r="K80" s="43"/>
      <c r="L80" s="43">
        <v>0.59722222222222221</v>
      </c>
      <c r="M80" s="43">
        <v>0.625</v>
      </c>
      <c r="N80" s="4">
        <v>40</v>
      </c>
      <c r="O80" s="6" t="s">
        <v>74</v>
      </c>
      <c r="P80" s="4" t="s">
        <v>91</v>
      </c>
      <c r="Q80" s="4"/>
      <c r="R80" s="4"/>
      <c r="S80" s="4"/>
      <c r="T80" s="48">
        <v>25</v>
      </c>
      <c r="U80" s="4">
        <v>48</v>
      </c>
      <c r="V80" s="4">
        <f>T80*S80</f>
        <v>0</v>
      </c>
      <c r="W80" s="4">
        <f>U80*S80</f>
        <v>0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45">
        <v>0.5625</v>
      </c>
      <c r="I81" s="43">
        <v>0.57291666666666663</v>
      </c>
      <c r="J81" s="4">
        <v>15</v>
      </c>
      <c r="K81" s="43"/>
      <c r="L81" s="45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8">
        <v>25</v>
      </c>
      <c r="U81" s="4">
        <v>48</v>
      </c>
      <c r="V81" s="4">
        <f>T81*S81</f>
        <v>0</v>
      </c>
      <c r="W81" s="4">
        <f>U81*S81</f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43">
        <v>0.625</v>
      </c>
      <c r="J82" s="4">
        <v>60</v>
      </c>
      <c r="K82" s="43"/>
      <c r="L82" s="45">
        <v>0.58333333333333337</v>
      </c>
      <c r="M82" s="43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8">
        <v>25</v>
      </c>
      <c r="U82" s="4">
        <v>48</v>
      </c>
      <c r="V82" s="4">
        <f>T82*S82</f>
        <v>0</v>
      </c>
      <c r="W82" s="4">
        <f>U82*S82</f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45">
        <v>0.5625</v>
      </c>
      <c r="I83" s="43">
        <v>0.58333333333333337</v>
      </c>
      <c r="J83" s="4">
        <v>30</v>
      </c>
      <c r="K83" s="43"/>
      <c r="L83" s="45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8">
        <v>25</v>
      </c>
      <c r="U83" s="4">
        <v>48</v>
      </c>
      <c r="V83" s="4">
        <f>T83*S83</f>
        <v>0</v>
      </c>
      <c r="W83" s="4">
        <f>U83*S83</f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43">
        <v>0.61458333333333337</v>
      </c>
      <c r="J84" s="4">
        <v>45</v>
      </c>
      <c r="K84" s="43"/>
      <c r="L84" s="45">
        <v>0.58333333333333337</v>
      </c>
      <c r="M84" s="43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8">
        <v>25</v>
      </c>
      <c r="U84" s="4">
        <v>48</v>
      </c>
      <c r="V84" s="4">
        <f>T84*S84</f>
        <v>0</v>
      </c>
      <c r="W84" s="4">
        <f>U84*S84</f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45">
        <v>0.52777777777777779</v>
      </c>
      <c r="I85" s="43">
        <v>0.63194444444444442</v>
      </c>
      <c r="J85" s="4">
        <v>150</v>
      </c>
      <c r="K85" s="43"/>
      <c r="L85" s="45">
        <v>0.52777777777777779</v>
      </c>
      <c r="M85" s="43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8">
        <v>25</v>
      </c>
      <c r="U85" s="4">
        <v>48</v>
      </c>
      <c r="V85" s="4">
        <f>T85*S85</f>
        <v>0</v>
      </c>
      <c r="W85" s="4">
        <f>U85*S85</f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43">
        <v>0.41666666666666669</v>
      </c>
      <c r="I86" s="43">
        <v>0.45833333333333337</v>
      </c>
      <c r="J86" s="4">
        <v>60</v>
      </c>
      <c r="K86" s="43"/>
      <c r="L86" s="43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4"/>
      <c r="T86" s="48">
        <v>28</v>
      </c>
      <c r="U86" s="4">
        <v>48</v>
      </c>
      <c r="V86" s="4">
        <f>T86*S86</f>
        <v>0</v>
      </c>
      <c r="W86" s="4">
        <f>U86*S86</f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4"/>
      <c r="T87" s="48">
        <v>28</v>
      </c>
      <c r="U87" s="4">
        <v>48</v>
      </c>
      <c r="V87" s="4">
        <f>T87*S87</f>
        <v>0</v>
      </c>
      <c r="W87" s="4">
        <f>U87*S87</f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4"/>
      <c r="R88" s="4"/>
      <c r="S88" s="4"/>
      <c r="T88" s="48">
        <v>28</v>
      </c>
      <c r="U88" s="4">
        <v>48</v>
      </c>
      <c r="V88" s="4">
        <f>T88*S88</f>
        <v>0</v>
      </c>
      <c r="W88" s="4">
        <f>U88*S88</f>
        <v>0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4"/>
      <c r="R89" s="4"/>
      <c r="S89" s="4"/>
      <c r="T89" s="48">
        <v>28</v>
      </c>
      <c r="U89" s="4">
        <v>48</v>
      </c>
      <c r="V89" s="4">
        <f>T89*S89</f>
        <v>0</v>
      </c>
      <c r="W89" s="4">
        <f>U89*S89</f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4"/>
      <c r="T90" s="48">
        <v>28</v>
      </c>
      <c r="U90" s="4">
        <v>48</v>
      </c>
      <c r="V90" s="4">
        <f>T90*S90</f>
        <v>0</v>
      </c>
      <c r="W90" s="4">
        <f>U90*S90</f>
        <v>0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4"/>
      <c r="T91" s="48">
        <v>28</v>
      </c>
      <c r="U91" s="4">
        <v>48</v>
      </c>
      <c r="V91" s="4">
        <f>T91*S91</f>
        <v>0</v>
      </c>
      <c r="W91" s="4">
        <f>U91*S91</f>
        <v>0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9"/>
      <c r="R92" s="9"/>
      <c r="S92" s="9"/>
      <c r="T92" s="49">
        <v>28</v>
      </c>
      <c r="U92" s="9">
        <v>48</v>
      </c>
      <c r="V92" s="4">
        <f>T92*S92</f>
        <v>0</v>
      </c>
      <c r="W92" s="4">
        <f>U92*S92</f>
        <v>0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46">
        <v>0.70833333333333337</v>
      </c>
      <c r="J93" s="9">
        <v>60</v>
      </c>
      <c r="K93" s="44"/>
      <c r="L93" s="46">
        <v>0.66666666666666663</v>
      </c>
      <c r="M93" s="4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9"/>
      <c r="T93" s="49">
        <v>28</v>
      </c>
      <c r="U93" s="9">
        <v>48</v>
      </c>
      <c r="V93" s="4">
        <f>T93*S93</f>
        <v>0</v>
      </c>
      <c r="W93" s="4">
        <f>U93*S93</f>
        <v>0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43">
        <v>0.36458333333333331</v>
      </c>
      <c r="I94" s="43">
        <v>0.375</v>
      </c>
      <c r="J94" s="4">
        <v>15</v>
      </c>
      <c r="K94" s="43"/>
      <c r="L94" s="43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4"/>
      <c r="T94" s="48">
        <v>28</v>
      </c>
      <c r="U94" s="4">
        <v>48</v>
      </c>
      <c r="V94" s="4">
        <f>T94*S94</f>
        <v>0</v>
      </c>
      <c r="W94" s="4">
        <f>U94*S94</f>
        <v>0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43">
        <v>0.41666666666666669</v>
      </c>
      <c r="J95" s="4">
        <v>60</v>
      </c>
      <c r="K95" s="43"/>
      <c r="L95" s="43">
        <v>0.375</v>
      </c>
      <c r="M95" s="43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4"/>
      <c r="T95" s="48">
        <v>28</v>
      </c>
      <c r="U95" s="4">
        <v>48</v>
      </c>
      <c r="V95" s="4">
        <f>T95*S95</f>
        <v>0</v>
      </c>
      <c r="W95" s="4">
        <f>U95*S95</f>
        <v>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45">
        <v>0.38541666666666669</v>
      </c>
      <c r="I96" s="43">
        <v>0.41666666666666669</v>
      </c>
      <c r="J96" s="4">
        <v>45</v>
      </c>
      <c r="K96" s="43"/>
      <c r="L96" s="45">
        <v>0.38541666666666669</v>
      </c>
      <c r="M96" s="43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4"/>
      <c r="T96" s="48">
        <v>28</v>
      </c>
      <c r="U96" s="4">
        <v>48</v>
      </c>
      <c r="V96" s="4">
        <f>T96*S96</f>
        <v>0</v>
      </c>
      <c r="W96" s="4">
        <f>U96*S96</f>
        <v>0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46">
        <v>0.48958333333333331</v>
      </c>
      <c r="I97" s="46">
        <v>0.52083333333333337</v>
      </c>
      <c r="J97" s="9">
        <v>45</v>
      </c>
      <c r="K97" s="44"/>
      <c r="L97" s="46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9"/>
      <c r="T97" s="49">
        <v>28</v>
      </c>
      <c r="U97" s="9">
        <v>48</v>
      </c>
      <c r="V97" s="4">
        <f>T97*S97</f>
        <v>0</v>
      </c>
      <c r="W97" s="4">
        <f>U97*S97</f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9"/>
      <c r="R98" s="9"/>
      <c r="S98" s="9"/>
      <c r="T98" s="49">
        <v>28</v>
      </c>
      <c r="U98" s="9">
        <v>48</v>
      </c>
      <c r="V98" s="4">
        <f>T98*S98</f>
        <v>0</v>
      </c>
      <c r="W98" s="4">
        <f>U98*S98</f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9"/>
      <c r="T99" s="49">
        <v>28</v>
      </c>
      <c r="U99" s="9">
        <v>48</v>
      </c>
      <c r="V99" s="4">
        <f>T99*S99</f>
        <v>0</v>
      </c>
      <c r="W99" s="4">
        <f>U99*S99</f>
        <v>0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4"/>
      <c r="T100" s="48">
        <v>28</v>
      </c>
      <c r="U100" s="4">
        <v>48</v>
      </c>
      <c r="V100" s="4">
        <f>T100*S100</f>
        <v>0</v>
      </c>
      <c r="W100" s="4">
        <f>U100*S100</f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43">
        <v>0.65625</v>
      </c>
      <c r="J101" s="4">
        <v>45</v>
      </c>
      <c r="K101" s="43"/>
      <c r="L101" s="43">
        <v>0.625</v>
      </c>
      <c r="M101" s="43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8">
        <v>28</v>
      </c>
      <c r="U101" s="4">
        <v>48</v>
      </c>
      <c r="V101" s="4">
        <f>T101*S101</f>
        <v>0</v>
      </c>
      <c r="W101" s="4">
        <f>U101*S101</f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43">
        <v>0.58680555555555558</v>
      </c>
      <c r="I102" s="43">
        <v>0.60763888888888884</v>
      </c>
      <c r="J102" s="4">
        <v>30</v>
      </c>
      <c r="K102" s="43"/>
      <c r="L102" s="43">
        <v>0.58680555555555558</v>
      </c>
      <c r="M102" s="43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4"/>
      <c r="T102" s="48">
        <v>28</v>
      </c>
      <c r="U102" s="4">
        <v>48</v>
      </c>
      <c r="V102" s="4">
        <f>T102*S102</f>
        <v>0</v>
      </c>
      <c r="W102" s="4">
        <f>U102*S102</f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43">
        <v>0.35416666666666669</v>
      </c>
      <c r="I103" s="43">
        <v>0.375</v>
      </c>
      <c r="J103" s="4">
        <v>30</v>
      </c>
      <c r="K103" s="43"/>
      <c r="L103" s="43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4"/>
      <c r="T103" s="48">
        <v>28</v>
      </c>
      <c r="U103" s="4">
        <v>48</v>
      </c>
      <c r="V103" s="4">
        <f>T103*S103</f>
        <v>0</v>
      </c>
      <c r="W103" s="4">
        <f>U103*S103</f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43">
        <v>0.39583333333333331</v>
      </c>
      <c r="J104" s="4">
        <v>15</v>
      </c>
      <c r="K104" s="43"/>
      <c r="L104" s="43">
        <v>0.38541666666666669</v>
      </c>
      <c r="M104" s="43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4"/>
      <c r="T104" s="48">
        <v>28</v>
      </c>
      <c r="U104" s="4">
        <v>48</v>
      </c>
      <c r="V104" s="4">
        <f>T104*S104</f>
        <v>0</v>
      </c>
      <c r="W104" s="4">
        <f>U104*S104</f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43">
        <v>0.54166666666666663</v>
      </c>
      <c r="I105" s="43">
        <v>0.58333333333333337</v>
      </c>
      <c r="J105" s="4">
        <v>60</v>
      </c>
      <c r="K105" s="43"/>
      <c r="L105" s="43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4"/>
      <c r="T105" s="48">
        <v>28</v>
      </c>
      <c r="U105" s="4">
        <v>48</v>
      </c>
      <c r="V105" s="4">
        <f>T105*S105</f>
        <v>0</v>
      </c>
      <c r="W105" s="4">
        <f>U105*S105</f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43">
        <v>0.59375</v>
      </c>
      <c r="J106" s="4">
        <v>15</v>
      </c>
      <c r="K106" s="43"/>
      <c r="L106" s="43">
        <v>0.58333333333333337</v>
      </c>
      <c r="M106" s="43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4"/>
      <c r="T106" s="48">
        <v>28</v>
      </c>
      <c r="U106" s="4">
        <v>48</v>
      </c>
      <c r="V106" s="4">
        <f>T106*S106</f>
        <v>0</v>
      </c>
      <c r="W106" s="4">
        <f>U106*S106</f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45">
        <v>0.66666666666666663</v>
      </c>
      <c r="I107" s="43">
        <v>0.71527777777777779</v>
      </c>
      <c r="J107" s="4">
        <v>70</v>
      </c>
      <c r="K107" s="43"/>
      <c r="L107" s="45">
        <v>0.66666666666666663</v>
      </c>
      <c r="M107" s="43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8">
        <v>30</v>
      </c>
      <c r="U107" s="4">
        <v>48</v>
      </c>
      <c r="V107" s="4">
        <f>T107*S107</f>
        <v>0</v>
      </c>
      <c r="W107" s="4">
        <f>U107*S107</f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43">
        <v>0.27083333333333331</v>
      </c>
      <c r="I108" s="43">
        <v>0.39583333333333331</v>
      </c>
      <c r="J108" s="4">
        <v>240</v>
      </c>
      <c r="K108" s="43"/>
      <c r="L108" s="43">
        <v>0.27083333333333331</v>
      </c>
      <c r="M108" s="43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8">
        <v>30</v>
      </c>
      <c r="U108" s="4">
        <v>48</v>
      </c>
      <c r="V108" s="4">
        <f>T108*S108</f>
        <v>0</v>
      </c>
      <c r="W108" s="4">
        <f>U108*S108</f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43">
        <v>0.52083333333333337</v>
      </c>
      <c r="I109" s="43">
        <v>0.54166666666666663</v>
      </c>
      <c r="J109" s="4">
        <v>30</v>
      </c>
      <c r="K109" s="43"/>
      <c r="L109" s="43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8">
        <v>30</v>
      </c>
      <c r="U109" s="4">
        <v>48</v>
      </c>
      <c r="V109" s="4">
        <f>T109*S109</f>
        <v>0</v>
      </c>
      <c r="W109" s="4">
        <f>U109*S109</f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8">
        <v>30</v>
      </c>
      <c r="U110" s="4">
        <v>48</v>
      </c>
      <c r="V110" s="4">
        <f>T110*S110</f>
        <v>0</v>
      </c>
      <c r="W110" s="4">
        <f>U110*S110</f>
        <v>0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4"/>
      <c r="R111" s="4"/>
      <c r="S111" s="4"/>
      <c r="T111" s="48">
        <v>30</v>
      </c>
      <c r="U111" s="4">
        <v>48</v>
      </c>
      <c r="V111" s="4">
        <f>T111*S111</f>
        <v>0</v>
      </c>
      <c r="W111" s="4">
        <f>U111*S111</f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43">
        <v>0.60416666666666674</v>
      </c>
      <c r="J112" s="4">
        <v>30</v>
      </c>
      <c r="K112" s="43"/>
      <c r="L112" s="43">
        <v>0.58333333333333337</v>
      </c>
      <c r="M112" s="43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4"/>
      <c r="T112" s="48">
        <v>30</v>
      </c>
      <c r="U112" s="4">
        <v>48</v>
      </c>
      <c r="V112" s="4">
        <f>T112*S112</f>
        <v>0</v>
      </c>
      <c r="W112" s="4">
        <f>U112*S112</f>
        <v>0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43">
        <v>0.625</v>
      </c>
      <c r="I113" s="43">
        <v>0.64583333333333337</v>
      </c>
      <c r="J113" s="4">
        <v>30</v>
      </c>
      <c r="K113" s="43"/>
      <c r="L113" s="43">
        <v>0.625</v>
      </c>
      <c r="M113" s="43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8">
        <v>30</v>
      </c>
      <c r="U113" s="4">
        <v>48</v>
      </c>
      <c r="V113" s="4">
        <f>T113*S113</f>
        <v>0</v>
      </c>
      <c r="W113" s="4">
        <f>U113*S113</f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45">
        <v>0.61111111111111105</v>
      </c>
      <c r="I114" s="43">
        <v>0.64583333333333326</v>
      </c>
      <c r="J114" s="4">
        <v>50</v>
      </c>
      <c r="K114" s="43"/>
      <c r="L114" s="45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8">
        <v>33</v>
      </c>
      <c r="U114" s="4">
        <v>48</v>
      </c>
      <c r="V114" s="4">
        <f>T114*S114</f>
        <v>0</v>
      </c>
      <c r="W114" s="4">
        <f>U114*S114</f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43">
        <v>0.6875</v>
      </c>
      <c r="J115" s="4">
        <v>60</v>
      </c>
      <c r="K115" s="43"/>
      <c r="L115" s="45">
        <v>0.64583333333333337</v>
      </c>
      <c r="M115" s="43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8">
        <v>33</v>
      </c>
      <c r="U115" s="4">
        <v>48</v>
      </c>
      <c r="V115" s="4">
        <f>T115*S115</f>
        <v>0</v>
      </c>
      <c r="W115" s="4">
        <f>U115*S115</f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43">
        <v>0.5625</v>
      </c>
      <c r="I116" s="43">
        <v>0.60416666666666663</v>
      </c>
      <c r="J116" s="4">
        <v>60</v>
      </c>
      <c r="K116" s="43"/>
      <c r="L116" s="43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4"/>
      <c r="T116" s="48">
        <v>33</v>
      </c>
      <c r="U116" s="4">
        <v>48</v>
      </c>
      <c r="V116" s="4">
        <f>T116*S116</f>
        <v>0</v>
      </c>
      <c r="W116" s="4">
        <f>U116*S116</f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43">
        <v>0.70833333333333326</v>
      </c>
      <c r="J117" s="4">
        <v>150</v>
      </c>
      <c r="K117" s="43"/>
      <c r="L117" s="43">
        <v>0.60416666666666663</v>
      </c>
      <c r="M117" s="43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4"/>
      <c r="T117" s="48">
        <v>33</v>
      </c>
      <c r="U117" s="4">
        <v>48</v>
      </c>
      <c r="V117" s="4">
        <f>T117*S117</f>
        <v>0</v>
      </c>
      <c r="W117" s="4">
        <f>U117*S117</f>
        <v>0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45">
        <v>0.41666666666666669</v>
      </c>
      <c r="I118" s="43">
        <v>0.44444444444444448</v>
      </c>
      <c r="J118" s="4">
        <v>40</v>
      </c>
      <c r="K118" s="43"/>
      <c r="L118" s="45">
        <v>0.41666666666666669</v>
      </c>
      <c r="M118" s="43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4"/>
      <c r="T118" s="48">
        <v>33</v>
      </c>
      <c r="U118" s="4">
        <v>48</v>
      </c>
      <c r="V118" s="4">
        <f>T118*S118</f>
        <v>0</v>
      </c>
      <c r="W118" s="4">
        <f>U118*S118</f>
        <v>0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45">
        <v>0.43055555555555558</v>
      </c>
      <c r="I119" s="43">
        <v>0.45833333333333337</v>
      </c>
      <c r="J119" s="4">
        <v>40</v>
      </c>
      <c r="K119" s="43"/>
      <c r="L119" s="45">
        <v>0.43055555555555558</v>
      </c>
      <c r="M119" s="43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8">
        <v>33</v>
      </c>
      <c r="U119" s="4">
        <v>48</v>
      </c>
      <c r="V119" s="4">
        <f>T119*S119</f>
        <v>0</v>
      </c>
      <c r="W119" s="4">
        <f>U119*S119</f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45">
        <v>0.66666666666666663</v>
      </c>
      <c r="I120" s="43">
        <v>0.6875</v>
      </c>
      <c r="J120" s="4">
        <v>30</v>
      </c>
      <c r="K120" s="43"/>
      <c r="L120" s="45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8">
        <v>32</v>
      </c>
      <c r="U120" s="4">
        <v>48</v>
      </c>
      <c r="V120" s="4">
        <f>T120*S120</f>
        <v>0</v>
      </c>
      <c r="W120" s="4">
        <f>U120*S120</f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43">
        <v>0.70833333333333337</v>
      </c>
      <c r="J121" s="4">
        <v>30</v>
      </c>
      <c r="K121" s="43"/>
      <c r="L121" s="45">
        <v>0.6875</v>
      </c>
      <c r="M121" s="43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8">
        <v>32</v>
      </c>
      <c r="U121" s="4">
        <v>48</v>
      </c>
      <c r="V121" s="4">
        <f>T121*S121</f>
        <v>0</v>
      </c>
      <c r="W121" s="4">
        <f>U121*S121</f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45">
        <v>0.61458333333333337</v>
      </c>
      <c r="I122" s="43">
        <v>0.65625</v>
      </c>
      <c r="J122" s="4">
        <v>60</v>
      </c>
      <c r="K122" s="43"/>
      <c r="L122" s="45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8">
        <v>40</v>
      </c>
      <c r="U122" s="4">
        <v>48</v>
      </c>
      <c r="V122" s="4">
        <f>T122*S122</f>
        <v>0</v>
      </c>
      <c r="W122" s="4">
        <f>U122*S122</f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43">
        <v>0.67708333333333337</v>
      </c>
      <c r="J123" s="4">
        <v>30</v>
      </c>
      <c r="K123" s="43"/>
      <c r="L123" s="45">
        <v>0.65625</v>
      </c>
      <c r="M123" s="43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8">
        <v>40</v>
      </c>
      <c r="U123" s="4">
        <v>48</v>
      </c>
      <c r="V123" s="4">
        <f>T123*S123</f>
        <v>0</v>
      </c>
      <c r="W123" s="4">
        <f>U123*S123</f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45">
        <v>0.41666666666666669</v>
      </c>
      <c r="I124" s="43">
        <v>0.47916666666666669</v>
      </c>
      <c r="J124" s="4">
        <v>90</v>
      </c>
      <c r="K124" s="43"/>
      <c r="L124" s="45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8">
        <v>37</v>
      </c>
      <c r="U124" s="4">
        <v>48</v>
      </c>
      <c r="V124" s="4">
        <f>T124*S124</f>
        <v>0</v>
      </c>
      <c r="W124" s="4">
        <f>U124*S124</f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8">
        <v>37</v>
      </c>
      <c r="U125" s="4">
        <v>48</v>
      </c>
      <c r="V125" s="4">
        <f>T125*S125</f>
        <v>0</v>
      </c>
      <c r="W125" s="4">
        <f>U125*S125</f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43">
        <v>0.5625</v>
      </c>
      <c r="J126" s="4">
        <v>15</v>
      </c>
      <c r="K126" s="43"/>
      <c r="L126" s="45">
        <v>0.55208333333333337</v>
      </c>
      <c r="M126" s="43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8">
        <v>37</v>
      </c>
      <c r="U126" s="4">
        <v>48</v>
      </c>
      <c r="V126" s="4">
        <f>T126*S126</f>
        <v>0</v>
      </c>
      <c r="W126" s="4">
        <f>U126*S126</f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45">
        <v>0.58333333333333337</v>
      </c>
      <c r="I127" s="43">
        <v>0.625</v>
      </c>
      <c r="J127" s="4">
        <v>60</v>
      </c>
      <c r="K127" s="43"/>
      <c r="L127" s="45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8">
        <v>37</v>
      </c>
      <c r="U127" s="4">
        <v>48</v>
      </c>
      <c r="V127" s="4">
        <f>T127*S127</f>
        <v>0</v>
      </c>
      <c r="W127" s="4">
        <f>U127*S127</f>
        <v>0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43">
        <v>0.65625</v>
      </c>
      <c r="J128" s="4">
        <v>45</v>
      </c>
      <c r="K128" s="43"/>
      <c r="L128" s="45">
        <v>0.625</v>
      </c>
      <c r="M128" s="43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4"/>
      <c r="T128" s="48">
        <v>37</v>
      </c>
      <c r="U128" s="4">
        <v>48</v>
      </c>
      <c r="V128" s="4">
        <f>T128*S128</f>
        <v>0</v>
      </c>
      <c r="W128" s="4">
        <f>U128*S128</f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45">
        <v>0.625</v>
      </c>
      <c r="I129" s="43">
        <v>0.64583333333333337</v>
      </c>
      <c r="J129" s="4">
        <v>30</v>
      </c>
      <c r="K129" s="43"/>
      <c r="L129" s="45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4"/>
      <c r="T129" s="48">
        <v>37</v>
      </c>
      <c r="U129" s="4">
        <v>48</v>
      </c>
      <c r="V129" s="4">
        <f>T129*S129</f>
        <v>0</v>
      </c>
      <c r="W129" s="4">
        <f>U129*S129</f>
        <v>0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43">
        <v>0.66666666666666663</v>
      </c>
      <c r="J130" s="4">
        <v>30</v>
      </c>
      <c r="K130" s="43"/>
      <c r="L130" s="43">
        <v>0.64583333333333337</v>
      </c>
      <c r="M130" s="43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4"/>
      <c r="T130" s="48">
        <v>37</v>
      </c>
      <c r="U130" s="4">
        <v>48</v>
      </c>
      <c r="V130" s="4">
        <f>T130*S130</f>
        <v>0</v>
      </c>
      <c r="W130" s="4">
        <f>U130*S130</f>
        <v>0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45">
        <v>0.54166666666666663</v>
      </c>
      <c r="I131" s="43">
        <v>0.5625</v>
      </c>
      <c r="J131" s="4">
        <v>30</v>
      </c>
      <c r="K131" s="43"/>
      <c r="L131" s="45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4"/>
      <c r="T131" s="48">
        <v>35</v>
      </c>
      <c r="U131" s="4">
        <v>48</v>
      </c>
      <c r="V131" s="4">
        <f>T131*S131</f>
        <v>0</v>
      </c>
      <c r="W131" s="4">
        <f>U131*S131</f>
        <v>0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8">
        <v>35</v>
      </c>
      <c r="U132" s="4">
        <v>48</v>
      </c>
      <c r="V132" s="4">
        <f>T132*S132</f>
        <v>0</v>
      </c>
      <c r="W132" s="4">
        <f>U132*S132</f>
        <v>0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4"/>
      <c r="R133" s="4"/>
      <c r="S133" s="4"/>
      <c r="T133" s="48">
        <v>35</v>
      </c>
      <c r="U133" s="4">
        <v>48</v>
      </c>
      <c r="V133" s="4">
        <f>T133*S133</f>
        <v>0</v>
      </c>
      <c r="W133" s="4">
        <f>U133*S133</f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4"/>
      <c r="T134" s="48">
        <v>35</v>
      </c>
      <c r="U134" s="4">
        <v>48</v>
      </c>
      <c r="V134" s="4">
        <f>T134*S134</f>
        <v>0</v>
      </c>
      <c r="W134" s="4">
        <f>U134*S134</f>
        <v>0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4"/>
      <c r="R135" s="4"/>
      <c r="S135" s="4"/>
      <c r="T135" s="48">
        <v>35</v>
      </c>
      <c r="U135" s="4">
        <v>48</v>
      </c>
      <c r="V135" s="4">
        <f>T135*S135</f>
        <v>0</v>
      </c>
      <c r="W135" s="4">
        <f>U135*S135</f>
        <v>0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4"/>
      <c r="R136" s="4"/>
      <c r="S136" s="4"/>
      <c r="T136" s="48">
        <v>35</v>
      </c>
      <c r="U136" s="4">
        <v>48</v>
      </c>
      <c r="V136" s="4">
        <f>T136*S136</f>
        <v>0</v>
      </c>
      <c r="W136" s="4">
        <f>U136*S136</f>
        <v>0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43">
        <v>0.83333333333333337</v>
      </c>
      <c r="J137" s="4">
        <v>120</v>
      </c>
      <c r="K137" s="43"/>
      <c r="L137" s="45">
        <v>0.75</v>
      </c>
      <c r="M137" s="43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8">
        <v>35</v>
      </c>
      <c r="U137" s="4">
        <v>48</v>
      </c>
      <c r="V137" s="4">
        <f>T137*S137</f>
        <v>0</v>
      </c>
      <c r="W137" s="4">
        <f>U137*S137</f>
        <v>0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45">
        <v>0.4236111111111111</v>
      </c>
      <c r="I138" s="43">
        <v>0.46527777777777779</v>
      </c>
      <c r="J138" s="4">
        <v>60</v>
      </c>
      <c r="K138" s="43"/>
      <c r="L138" s="45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8">
        <v>27</v>
      </c>
      <c r="U138" s="4">
        <v>48</v>
      </c>
      <c r="V138" s="4">
        <f>T138*S138</f>
        <v>0</v>
      </c>
      <c r="W138" s="4">
        <f>U138*S138</f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43">
        <v>0.54166666666666663</v>
      </c>
      <c r="J139" s="4">
        <v>60</v>
      </c>
      <c r="K139" s="43"/>
      <c r="L139" s="45">
        <v>0.5</v>
      </c>
      <c r="M139" s="43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8">
        <v>27</v>
      </c>
      <c r="U139" s="4">
        <v>48</v>
      </c>
      <c r="V139" s="4">
        <f>T139*S139</f>
        <v>0</v>
      </c>
      <c r="W139" s="4">
        <f>U139*S139</f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43">
        <v>0.42708333333333331</v>
      </c>
      <c r="I140" s="43">
        <v>0.4375</v>
      </c>
      <c r="J140" s="4">
        <v>15</v>
      </c>
      <c r="K140" s="43"/>
      <c r="L140" s="43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8">
        <v>27</v>
      </c>
      <c r="U140" s="4">
        <v>48</v>
      </c>
      <c r="V140" s="4">
        <f>T140*S140</f>
        <v>0</v>
      </c>
      <c r="W140" s="4">
        <f>U140*S140</f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8">
        <v>27</v>
      </c>
      <c r="U141" s="4">
        <v>48</v>
      </c>
      <c r="V141" s="4">
        <f>T141*S141</f>
        <v>0</v>
      </c>
      <c r="W141" s="4">
        <f>U141*S141</f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43">
        <v>0.5</v>
      </c>
      <c r="J142" s="4">
        <v>60</v>
      </c>
      <c r="K142" s="43"/>
      <c r="L142" s="43">
        <v>0.45833333333333331</v>
      </c>
      <c r="M142" s="43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8">
        <v>27</v>
      </c>
      <c r="U142" s="4">
        <v>48</v>
      </c>
      <c r="V142" s="4">
        <f>T142*S142</f>
        <v>0</v>
      </c>
      <c r="W142" s="4">
        <f>U142*S142</f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45">
        <v>0.47916666666666669</v>
      </c>
      <c r="I143" s="43">
        <v>0.5</v>
      </c>
      <c r="J143" s="4">
        <v>30</v>
      </c>
      <c r="K143" s="43"/>
      <c r="L143" s="45">
        <v>0.47916666666666669</v>
      </c>
      <c r="M143" s="43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8">
        <v>25</v>
      </c>
      <c r="U143" s="4">
        <v>48</v>
      </c>
      <c r="V143" s="4">
        <f>T143*S143</f>
        <v>0</v>
      </c>
      <c r="W143" s="4">
        <f>U143*S143</f>
        <v>0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45">
        <v>0.4201388888888889</v>
      </c>
      <c r="I144" s="43">
        <v>0.4375</v>
      </c>
      <c r="J144" s="4">
        <v>25</v>
      </c>
      <c r="K144" s="43"/>
      <c r="L144" s="45">
        <v>0.4201388888888889</v>
      </c>
      <c r="M144" s="43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"/>
      <c r="U144" s="4">
        <v>48</v>
      </c>
      <c r="V144" s="4">
        <f>T144*S144</f>
        <v>0</v>
      </c>
      <c r="W144" s="4">
        <f>U144*S144</f>
        <v>0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45">
        <v>0.39583333333333331</v>
      </c>
      <c r="I145" s="43">
        <v>0.41666666666666663</v>
      </c>
      <c r="J145" s="4">
        <v>30</v>
      </c>
      <c r="K145" s="43"/>
      <c r="L145" s="45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4"/>
      <c r="T145" s="48">
        <v>25</v>
      </c>
      <c r="U145" s="4">
        <v>48</v>
      </c>
      <c r="V145" s="4">
        <f>T145*S145</f>
        <v>0</v>
      </c>
      <c r="W145" s="4">
        <f>U145*S145</f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4"/>
      <c r="T146" s="48">
        <v>25</v>
      </c>
      <c r="U146" s="4">
        <v>48</v>
      </c>
      <c r="V146" s="4">
        <f>T146*S146</f>
        <v>0</v>
      </c>
      <c r="W146" s="4">
        <f>U146*S146</f>
        <v>0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43">
        <v>0.58333333333333337</v>
      </c>
      <c r="J147" s="4">
        <v>120</v>
      </c>
      <c r="K147" s="43"/>
      <c r="L147" s="45">
        <v>0.5</v>
      </c>
      <c r="M147" s="43">
        <v>0.58333333333333337</v>
      </c>
      <c r="N147" s="4">
        <v>120</v>
      </c>
      <c r="O147" s="6" t="s">
        <v>26</v>
      </c>
      <c r="P147" s="4" t="s">
        <v>175</v>
      </c>
      <c r="Q147" s="4"/>
      <c r="R147" s="4"/>
      <c r="S147" s="4"/>
      <c r="T147" s="48">
        <v>25</v>
      </c>
      <c r="U147" s="4">
        <v>48</v>
      </c>
      <c r="V147" s="4">
        <f>T147*S147</f>
        <v>0</v>
      </c>
      <c r="W147" s="4">
        <f>U147*S147</f>
        <v>0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45">
        <v>0.54166666666666663</v>
      </c>
      <c r="I148" s="44">
        <v>0.55208333333333337</v>
      </c>
      <c r="J148" s="9">
        <v>15</v>
      </c>
      <c r="K148" s="44"/>
      <c r="L148" s="45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9"/>
      <c r="T148" s="49">
        <v>27</v>
      </c>
      <c r="U148" s="9">
        <v>48</v>
      </c>
      <c r="V148" s="4">
        <f>T148*S148</f>
        <v>0</v>
      </c>
      <c r="W148" s="4">
        <f>U148*S148</f>
        <v>0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44">
        <v>0.60416666666666663</v>
      </c>
      <c r="J149" s="9">
        <v>60</v>
      </c>
      <c r="K149" s="44"/>
      <c r="L149" s="45">
        <v>0.5625</v>
      </c>
      <c r="M149" s="44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9"/>
      <c r="T149" s="49">
        <v>27</v>
      </c>
      <c r="U149" s="9">
        <v>48</v>
      </c>
      <c r="V149" s="4">
        <f>T149*S149</f>
        <v>0</v>
      </c>
      <c r="W149" s="4">
        <f>U149*S149</f>
        <v>0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45">
        <v>0.625</v>
      </c>
      <c r="I150" s="43">
        <v>0.66666666666666663</v>
      </c>
      <c r="J150" s="4">
        <v>60</v>
      </c>
      <c r="K150" s="43"/>
      <c r="L150" s="45">
        <v>0.625</v>
      </c>
      <c r="M150" s="43">
        <v>0.66666666666666663</v>
      </c>
      <c r="N150" s="4">
        <v>60</v>
      </c>
      <c r="O150" s="6" t="s">
        <v>693</v>
      </c>
      <c r="P150" s="4"/>
      <c r="Q150" s="4"/>
      <c r="R150" s="4"/>
      <c r="S150" s="4"/>
      <c r="T150" s="48">
        <v>27</v>
      </c>
      <c r="U150" s="4">
        <v>48</v>
      </c>
      <c r="V150" s="4">
        <f>T150*S150</f>
        <v>0</v>
      </c>
      <c r="W150" s="4">
        <f>U150*S150</f>
        <v>0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43">
        <v>0.58333333333333337</v>
      </c>
      <c r="I151" s="43">
        <v>0.60416666666666674</v>
      </c>
      <c r="J151" s="4">
        <v>30</v>
      </c>
      <c r="K151" s="43"/>
      <c r="L151" s="43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8">
        <v>35</v>
      </c>
      <c r="U151" s="4">
        <v>48</v>
      </c>
      <c r="V151" s="4">
        <f>T151*S151</f>
        <v>0</v>
      </c>
      <c r="W151" s="4">
        <f>U151*S151</f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8">
        <v>35</v>
      </c>
      <c r="U152" s="4">
        <v>48</v>
      </c>
      <c r="V152" s="4">
        <f>T152*S152</f>
        <v>0</v>
      </c>
      <c r="W152" s="4">
        <f>U152*S152</f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43">
        <v>0.64583333333333337</v>
      </c>
      <c r="J153" s="4">
        <v>30</v>
      </c>
      <c r="K153" s="43"/>
      <c r="L153" s="43">
        <v>0.625</v>
      </c>
      <c r="M153" s="43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8">
        <v>35</v>
      </c>
      <c r="U153" s="4">
        <v>48</v>
      </c>
      <c r="V153" s="4">
        <f>T153*S153</f>
        <v>0</v>
      </c>
      <c r="W153" s="4">
        <f>U153*S153</f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45">
        <v>0.45833333333333331</v>
      </c>
      <c r="I154" s="43">
        <v>0.47916666666666663</v>
      </c>
      <c r="J154" s="4">
        <v>30</v>
      </c>
      <c r="K154" s="43"/>
      <c r="L154" s="45">
        <v>0.45833333333333331</v>
      </c>
      <c r="M154" s="43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4"/>
      <c r="T154" s="4"/>
      <c r="U154" s="4">
        <v>48</v>
      </c>
      <c r="V154" s="4">
        <f>T154*S154</f>
        <v>0</v>
      </c>
      <c r="W154" s="4">
        <f>U154*S154</f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45">
        <v>0.375</v>
      </c>
      <c r="I155" s="43">
        <v>0.38541666666666669</v>
      </c>
      <c r="J155" s="4">
        <v>15</v>
      </c>
      <c r="K155" s="43"/>
      <c r="L155" s="45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4"/>
      <c r="T155" s="4"/>
      <c r="U155" s="4">
        <v>48</v>
      </c>
      <c r="V155" s="4">
        <f>T155*S155</f>
        <v>0</v>
      </c>
      <c r="W155" s="4">
        <f>U155*S155</f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4"/>
      <c r="T156" s="4"/>
      <c r="U156" s="4">
        <v>48</v>
      </c>
      <c r="V156" s="4">
        <f>T156*S156</f>
        <v>0</v>
      </c>
      <c r="W156" s="4">
        <f>U156*S156</f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43">
        <v>0.45833333333333331</v>
      </c>
      <c r="J157" s="4">
        <v>90</v>
      </c>
      <c r="K157" s="43"/>
      <c r="L157" s="45">
        <v>0.39583333333333331</v>
      </c>
      <c r="M157" s="43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4"/>
      <c r="T157" s="4"/>
      <c r="U157" s="4">
        <v>48</v>
      </c>
      <c r="V157" s="4">
        <f>T157*S157</f>
        <v>0</v>
      </c>
      <c r="W157" s="4">
        <f>U157*S157</f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46">
        <v>0.45833333333333331</v>
      </c>
      <c r="I158" s="46">
        <v>0.6875</v>
      </c>
      <c r="J158" s="21">
        <v>330</v>
      </c>
      <c r="K158" s="46"/>
      <c r="L158" s="46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51">
        <v>30</v>
      </c>
      <c r="U158" s="21">
        <v>48</v>
      </c>
      <c r="V158" s="4">
        <f>T158*S158</f>
        <v>0</v>
      </c>
      <c r="W158" s="4">
        <f>U158*S158</f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43">
        <v>0.69791666666666663</v>
      </c>
      <c r="J159" s="4">
        <v>15</v>
      </c>
      <c r="K159" s="43"/>
      <c r="L159" s="45">
        <v>0.6875</v>
      </c>
      <c r="M159" s="43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8">
        <v>30</v>
      </c>
      <c r="U159" s="4">
        <v>48</v>
      </c>
      <c r="V159" s="4">
        <f>T159*S159</f>
        <v>0</v>
      </c>
      <c r="W159" s="4">
        <f>U159*S159</f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43">
        <v>0.39583333333333331</v>
      </c>
      <c r="I160" s="43">
        <v>0.40625</v>
      </c>
      <c r="J160" s="4">
        <v>15</v>
      </c>
      <c r="K160" s="43"/>
      <c r="L160" s="43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4"/>
      <c r="T160" s="48">
        <v>25</v>
      </c>
      <c r="U160" s="4">
        <v>48</v>
      </c>
      <c r="V160" s="4">
        <f>T160*S160</f>
        <v>0</v>
      </c>
      <c r="W160" s="4">
        <f>U160*S160</f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4"/>
      <c r="R161" s="4"/>
      <c r="S161" s="4"/>
      <c r="T161" s="48">
        <v>25</v>
      </c>
      <c r="U161" s="4">
        <v>48</v>
      </c>
      <c r="V161" s="4">
        <f>T161*S161</f>
        <v>0</v>
      </c>
      <c r="W161" s="4">
        <f>U161*S161</f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4"/>
      <c r="R162" s="4"/>
      <c r="S162" s="4"/>
      <c r="T162" s="48">
        <v>25</v>
      </c>
      <c r="U162" s="4">
        <v>48</v>
      </c>
      <c r="V162" s="4">
        <f>T162*S162</f>
        <v>0</v>
      </c>
      <c r="W162" s="4">
        <f>U162*S162</f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8">
        <v>25</v>
      </c>
      <c r="U163" s="4">
        <v>48</v>
      </c>
      <c r="V163" s="4">
        <f>T163*S163</f>
        <v>0</v>
      </c>
      <c r="W163" s="4">
        <f>U163*S163</f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43">
        <v>0.60416666666666674</v>
      </c>
      <c r="J164" s="4">
        <v>30</v>
      </c>
      <c r="K164" s="43"/>
      <c r="L164" s="43">
        <v>0.58333333333333337</v>
      </c>
      <c r="M164" s="43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8">
        <v>25</v>
      </c>
      <c r="U164" s="4">
        <v>48</v>
      </c>
      <c r="V164" s="4">
        <f>T164*S164</f>
        <v>0</v>
      </c>
      <c r="W164" s="4">
        <f>U164*S164</f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43">
        <v>0.35416666666666669</v>
      </c>
      <c r="I165" s="43">
        <v>0.45833333333333331</v>
      </c>
      <c r="J165" s="4">
        <v>150</v>
      </c>
      <c r="K165" s="43"/>
      <c r="L165" s="43">
        <v>0.35416666666666669</v>
      </c>
      <c r="M165" s="43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8">
        <v>25</v>
      </c>
      <c r="U165" s="4">
        <v>48</v>
      </c>
      <c r="V165" s="4">
        <f>T165*S165</f>
        <v>0</v>
      </c>
      <c r="W165" s="4">
        <f>U165*S165</f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45">
        <v>0.52777777777777779</v>
      </c>
      <c r="I166" s="43">
        <v>0.63194444444444442</v>
      </c>
      <c r="J166" s="4">
        <v>150</v>
      </c>
      <c r="K166" s="43"/>
      <c r="L166" s="45">
        <v>0.52777777777777779</v>
      </c>
      <c r="M166" s="43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8">
        <v>25</v>
      </c>
      <c r="U166" s="4">
        <v>48</v>
      </c>
      <c r="V166" s="4">
        <f>T166*S166</f>
        <v>0</v>
      </c>
      <c r="W166" s="4">
        <f>U166*S166</f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43">
        <v>0.625</v>
      </c>
      <c r="I167" s="43">
        <v>0.63541666666666663</v>
      </c>
      <c r="J167" s="4">
        <v>15</v>
      </c>
      <c r="K167" s="43"/>
      <c r="L167" s="43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8">
        <v>27</v>
      </c>
      <c r="U167" s="4">
        <v>48</v>
      </c>
      <c r="V167" s="4">
        <f>T167*S167</f>
        <v>0</v>
      </c>
      <c r="W167" s="4">
        <f>U167*S167</f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43">
        <v>0.77083333333333326</v>
      </c>
      <c r="J168" s="4">
        <v>150</v>
      </c>
      <c r="K168" s="43"/>
      <c r="L168" s="43">
        <v>0.66666666666666663</v>
      </c>
      <c r="M168" s="43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8">
        <v>27</v>
      </c>
      <c r="U168" s="4">
        <v>48</v>
      </c>
      <c r="V168" s="4">
        <f>T168*S168</f>
        <v>0</v>
      </c>
      <c r="W168" s="4">
        <f>U168*S168</f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45">
        <v>0.41666666666666669</v>
      </c>
      <c r="I169" s="43">
        <v>0.45833333333333337</v>
      </c>
      <c r="J169" s="4">
        <v>60</v>
      </c>
      <c r="K169" s="43"/>
      <c r="L169" s="45">
        <v>0.41666666666666669</v>
      </c>
      <c r="M169" s="43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8">
        <v>27</v>
      </c>
      <c r="U169" s="4">
        <v>48</v>
      </c>
      <c r="V169" s="4">
        <f>T169*S169</f>
        <v>0</v>
      </c>
      <c r="W169" s="4">
        <f>U169*S169</f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43">
        <v>0.64583333333333337</v>
      </c>
      <c r="I170" s="43">
        <v>0.66666666666666674</v>
      </c>
      <c r="J170" s="4">
        <v>30</v>
      </c>
      <c r="K170" s="43"/>
      <c r="L170" s="43">
        <v>0.64583333333333337</v>
      </c>
      <c r="M170" s="43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8">
        <v>27</v>
      </c>
      <c r="U170" s="4">
        <v>48</v>
      </c>
      <c r="V170" s="4">
        <f>T170*S170</f>
        <v>0</v>
      </c>
      <c r="W170" s="4">
        <f>U170*S170</f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43">
        <v>0.5</v>
      </c>
      <c r="I171" s="43">
        <v>0.6875</v>
      </c>
      <c r="J171" s="4">
        <v>270</v>
      </c>
      <c r="K171" s="43"/>
      <c r="L171" s="43">
        <v>0.5</v>
      </c>
      <c r="M171" s="43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8">
        <v>27</v>
      </c>
      <c r="U171" s="4">
        <v>48</v>
      </c>
      <c r="V171" s="4">
        <f>T171*S171</f>
        <v>0</v>
      </c>
      <c r="W171" s="4">
        <f>U171*S171</f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43">
        <v>0.375</v>
      </c>
      <c r="I172" s="43">
        <v>0.39583333333333331</v>
      </c>
      <c r="J172" s="4">
        <v>30</v>
      </c>
      <c r="K172" s="43"/>
      <c r="L172" s="43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8">
        <v>27</v>
      </c>
      <c r="U172" s="4">
        <v>48</v>
      </c>
      <c r="V172" s="4">
        <f>T172*S172</f>
        <v>0</v>
      </c>
      <c r="W172" s="4">
        <f>U172*S172</f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8">
        <v>27</v>
      </c>
      <c r="U173" s="4">
        <v>48</v>
      </c>
      <c r="V173" s="4">
        <f>T173*S173</f>
        <v>0</v>
      </c>
      <c r="W173" s="4">
        <f>U173*S173</f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43">
        <v>0.5</v>
      </c>
      <c r="J174" s="4">
        <v>90</v>
      </c>
      <c r="K174" s="43"/>
      <c r="L174" s="43">
        <v>0.4375</v>
      </c>
      <c r="M174" s="43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8">
        <v>27</v>
      </c>
      <c r="U174" s="4">
        <v>48</v>
      </c>
      <c r="V174" s="4">
        <f>T174*S174</f>
        <v>0</v>
      </c>
      <c r="W174" s="4">
        <f>U174*S174</f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45">
        <v>0.55208333333333337</v>
      </c>
      <c r="I175" s="43">
        <v>0.5625</v>
      </c>
      <c r="J175" s="4">
        <v>15</v>
      </c>
      <c r="K175" s="43"/>
      <c r="L175" s="45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8">
        <v>27</v>
      </c>
      <c r="U175" s="4">
        <v>48</v>
      </c>
      <c r="V175" s="4">
        <f>T175*S175</f>
        <v>0</v>
      </c>
      <c r="W175" s="4">
        <f>U175*S175</f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43">
        <v>0.61111111111111105</v>
      </c>
      <c r="J176" s="4">
        <v>60</v>
      </c>
      <c r="K176" s="43"/>
      <c r="L176" s="45">
        <v>0.56944444444444442</v>
      </c>
      <c r="M176" s="43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8">
        <v>27</v>
      </c>
      <c r="U176" s="4">
        <v>48</v>
      </c>
      <c r="V176" s="4">
        <f>T176*S176</f>
        <v>0</v>
      </c>
      <c r="W176" s="4">
        <f>U176*S176</f>
        <v>0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45">
        <v>0.6875</v>
      </c>
      <c r="I177" s="43">
        <v>0.70833333333333337</v>
      </c>
      <c r="J177" s="4">
        <v>30</v>
      </c>
      <c r="K177" s="43"/>
      <c r="L177" s="45">
        <v>0.6875</v>
      </c>
      <c r="M177" s="43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4"/>
      <c r="T177" s="48">
        <v>35</v>
      </c>
      <c r="U177" s="4">
        <v>48</v>
      </c>
      <c r="V177" s="4">
        <f>T177*S177</f>
        <v>0</v>
      </c>
      <c r="W177" s="4">
        <f>U177*S177</f>
        <v>0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45">
        <v>0.29166666666666669</v>
      </c>
      <c r="I178" s="43">
        <v>0.30208333333333331</v>
      </c>
      <c r="J178" s="4">
        <v>15</v>
      </c>
      <c r="K178" s="43"/>
      <c r="L178" s="45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4"/>
      <c r="T178" s="48">
        <v>35</v>
      </c>
      <c r="U178" s="4">
        <v>48</v>
      </c>
      <c r="V178" s="4">
        <f>T178*S178</f>
        <v>0</v>
      </c>
      <c r="W178" s="4">
        <f>U178*S178</f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4"/>
      <c r="T179" s="48">
        <v>35</v>
      </c>
      <c r="U179" s="4">
        <v>48</v>
      </c>
      <c r="V179" s="4">
        <f>T179*S179</f>
        <v>0</v>
      </c>
      <c r="W179" s="4">
        <f>U179*S179</f>
        <v>0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43">
        <v>0.45833333333333331</v>
      </c>
      <c r="J180" s="4">
        <v>120</v>
      </c>
      <c r="K180" s="43"/>
      <c r="L180" s="45">
        <v>0.39583333333333331</v>
      </c>
      <c r="M180" s="43">
        <v>0.45833333333333331</v>
      </c>
      <c r="N180" s="4">
        <v>120</v>
      </c>
      <c r="O180" s="6" t="s">
        <v>115</v>
      </c>
      <c r="P180" s="4"/>
      <c r="Q180" s="4"/>
      <c r="R180" s="4"/>
      <c r="S180" s="4"/>
      <c r="T180" s="48">
        <v>35</v>
      </c>
      <c r="U180" s="4">
        <v>48</v>
      </c>
      <c r="V180" s="4">
        <f>T180*S180</f>
        <v>0</v>
      </c>
      <c r="W180" s="4">
        <f>U180*S180</f>
        <v>0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43">
        <v>0.54166666666666663</v>
      </c>
      <c r="I181" s="43">
        <v>0.5625</v>
      </c>
      <c r="J181" s="4">
        <v>30</v>
      </c>
      <c r="K181" s="43"/>
      <c r="L181" s="43">
        <v>0.54166666666666663</v>
      </c>
      <c r="M181" s="43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4"/>
      <c r="T181" s="48">
        <v>30</v>
      </c>
      <c r="U181" s="4">
        <v>48</v>
      </c>
      <c r="V181" s="4">
        <f>T181*S181</f>
        <v>0</v>
      </c>
      <c r="W181" s="4">
        <f>U181*S181</f>
        <v>0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43">
        <v>0.5</v>
      </c>
      <c r="I182" s="43">
        <v>0.6875</v>
      </c>
      <c r="J182" s="4">
        <v>270</v>
      </c>
      <c r="K182" s="43"/>
      <c r="L182" s="43">
        <v>0.5</v>
      </c>
      <c r="M182" s="43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4"/>
      <c r="T182" s="48">
        <v>30</v>
      </c>
      <c r="U182" s="4">
        <v>48</v>
      </c>
      <c r="V182" s="4">
        <f>T182*S182</f>
        <v>0</v>
      </c>
      <c r="W182" s="4">
        <f>U182*S182</f>
        <v>0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43">
        <v>0.46875</v>
      </c>
      <c r="I183" s="43">
        <v>0.5</v>
      </c>
      <c r="J183" s="4">
        <v>45</v>
      </c>
      <c r="K183" s="43"/>
      <c r="L183" s="43">
        <v>0.46875</v>
      </c>
      <c r="M183" s="43">
        <v>0.5</v>
      </c>
      <c r="N183" s="4">
        <v>45</v>
      </c>
      <c r="O183" s="6" t="s">
        <v>290</v>
      </c>
      <c r="P183" s="4"/>
      <c r="Q183" s="4"/>
      <c r="R183" s="4"/>
      <c r="S183" s="4"/>
      <c r="T183" s="48">
        <v>30</v>
      </c>
      <c r="U183" s="4">
        <v>48</v>
      </c>
      <c r="V183" s="4">
        <f>T183*S183</f>
        <v>0</v>
      </c>
      <c r="W183" s="4">
        <f>U183*S183</f>
        <v>0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45">
        <v>0.3125</v>
      </c>
      <c r="I184" s="43">
        <v>0.41666666666666669</v>
      </c>
      <c r="J184" s="4">
        <v>150</v>
      </c>
      <c r="K184" s="43"/>
      <c r="L184" s="45">
        <v>0.3125</v>
      </c>
      <c r="M184" s="43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4"/>
      <c r="T184" s="48">
        <v>30</v>
      </c>
      <c r="U184" s="4">
        <v>48</v>
      </c>
      <c r="V184" s="4">
        <f>T184*S184</f>
        <v>0</v>
      </c>
      <c r="W184" s="4">
        <f>U184*S184</f>
        <v>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43">
        <v>0.45833333333333331</v>
      </c>
      <c r="I185" s="43">
        <v>0.48958333333333331</v>
      </c>
      <c r="J185" s="4">
        <v>45</v>
      </c>
      <c r="K185" s="43"/>
      <c r="L185" s="43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4"/>
      <c r="T185" s="48">
        <v>30</v>
      </c>
      <c r="U185" s="4">
        <v>48</v>
      </c>
      <c r="V185" s="4">
        <f>T185*S185</f>
        <v>0</v>
      </c>
      <c r="W185" s="4">
        <f>U185*S185</f>
        <v>0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43">
        <v>0.58333333333333326</v>
      </c>
      <c r="J186" s="4">
        <v>60</v>
      </c>
      <c r="K186" s="43"/>
      <c r="L186" s="43">
        <v>0.54166666666666663</v>
      </c>
      <c r="M186" s="43">
        <v>0.58333333333333326</v>
      </c>
      <c r="N186" s="4">
        <v>60</v>
      </c>
      <c r="O186" s="4" t="s">
        <v>110</v>
      </c>
      <c r="P186" s="4" t="s">
        <v>221</v>
      </c>
      <c r="Q186" s="4"/>
      <c r="R186" s="4"/>
      <c r="S186" s="4"/>
      <c r="T186" s="48">
        <v>30</v>
      </c>
      <c r="U186" s="4">
        <v>48</v>
      </c>
      <c r="V186" s="4">
        <f>T186*S186</f>
        <v>0</v>
      </c>
      <c r="W186" s="4">
        <f>U186*S186</f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45">
        <v>0.70833333333333337</v>
      </c>
      <c r="I187" s="43">
        <v>0.75</v>
      </c>
      <c r="J187" s="4">
        <v>60</v>
      </c>
      <c r="K187" s="43"/>
      <c r="L187" s="45">
        <v>0.70833333333333337</v>
      </c>
      <c r="M187" s="43">
        <v>0.75</v>
      </c>
      <c r="N187" s="4">
        <v>60</v>
      </c>
      <c r="O187" s="6" t="s">
        <v>26</v>
      </c>
      <c r="P187" s="4"/>
      <c r="Q187" s="4"/>
      <c r="R187" s="4"/>
      <c r="S187" s="4"/>
      <c r="T187" s="48">
        <v>30</v>
      </c>
      <c r="U187" s="4">
        <v>48</v>
      </c>
      <c r="V187" s="4">
        <f>T187*S187</f>
        <v>0</v>
      </c>
      <c r="W187" s="4">
        <f>U187*S187</f>
        <v>0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45">
        <v>0.6875</v>
      </c>
      <c r="I188" s="43">
        <v>0.70833333333333337</v>
      </c>
      <c r="J188" s="4">
        <v>60</v>
      </c>
      <c r="K188" s="43"/>
      <c r="L188" s="45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4"/>
      <c r="T188" s="48">
        <v>30</v>
      </c>
      <c r="U188" s="4">
        <v>48</v>
      </c>
      <c r="V188" s="4">
        <f>T188*S188</f>
        <v>0</v>
      </c>
      <c r="W188" s="4">
        <f>U188*S188</f>
        <v>0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43">
        <v>0.83333333333333337</v>
      </c>
      <c r="J189" s="4">
        <v>90</v>
      </c>
      <c r="K189" s="43"/>
      <c r="L189" s="45">
        <v>0.77083333333333337</v>
      </c>
      <c r="M189" s="43">
        <v>0.83333333333333337</v>
      </c>
      <c r="N189" s="4">
        <v>90</v>
      </c>
      <c r="O189" s="6" t="s">
        <v>26</v>
      </c>
      <c r="P189" s="4" t="s">
        <v>711</v>
      </c>
      <c r="Q189" s="4"/>
      <c r="R189" s="4"/>
      <c r="S189" s="4"/>
      <c r="T189" s="48">
        <v>30</v>
      </c>
      <c r="U189" s="4">
        <v>48</v>
      </c>
      <c r="V189" s="4">
        <f>T189*S189</f>
        <v>0</v>
      </c>
      <c r="W189" s="4">
        <f>U189*S189</f>
        <v>0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45">
        <v>0.35416666666666669</v>
      </c>
      <c r="I190" s="43">
        <v>0.375</v>
      </c>
      <c r="J190" s="4">
        <v>30</v>
      </c>
      <c r="K190" s="43"/>
      <c r="L190" s="45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4"/>
      <c r="T190" s="48">
        <v>30</v>
      </c>
      <c r="U190" s="4">
        <v>48</v>
      </c>
      <c r="V190" s="4">
        <f>T190*S190</f>
        <v>0</v>
      </c>
      <c r="W190" s="4">
        <f>U190*S190</f>
        <v>0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43">
        <v>0.4375</v>
      </c>
      <c r="J191" s="4">
        <v>60</v>
      </c>
      <c r="K191" s="43"/>
      <c r="L191" s="45">
        <v>0.39583333333333331</v>
      </c>
      <c r="M191" s="43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4"/>
      <c r="T191" s="48">
        <v>30</v>
      </c>
      <c r="U191" s="4">
        <v>48</v>
      </c>
      <c r="V191" s="4">
        <f>T191*S191</f>
        <v>0</v>
      </c>
      <c r="W191" s="4">
        <f>U191*S191</f>
        <v>0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43">
        <v>0.39583333333333331</v>
      </c>
      <c r="I192" s="43">
        <v>0.40625</v>
      </c>
      <c r="J192" s="4">
        <v>15</v>
      </c>
      <c r="K192" s="43"/>
      <c r="L192" s="43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4"/>
      <c r="T192" s="48">
        <v>30</v>
      </c>
      <c r="U192" s="4">
        <v>48</v>
      </c>
      <c r="V192" s="4">
        <f>T192*S192</f>
        <v>0</v>
      </c>
      <c r="W192" s="4">
        <f>U192*S192</f>
        <v>0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4"/>
      <c r="T193" s="48">
        <v>30</v>
      </c>
      <c r="U193" s="4">
        <v>48</v>
      </c>
      <c r="V193" s="4">
        <f>T193*S193</f>
        <v>0</v>
      </c>
      <c r="W193" s="4">
        <f>U193*S193</f>
        <v>0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43">
        <v>0.4375</v>
      </c>
      <c r="J194" s="4">
        <v>15</v>
      </c>
      <c r="K194" s="43"/>
      <c r="L194" s="45">
        <v>0.42708333333333331</v>
      </c>
      <c r="M194" s="43">
        <v>0.4375</v>
      </c>
      <c r="N194" s="4">
        <v>15</v>
      </c>
      <c r="O194" s="6" t="s">
        <v>46</v>
      </c>
      <c r="P194" s="4" t="s">
        <v>47</v>
      </c>
      <c r="Q194" s="4"/>
      <c r="R194" s="4"/>
      <c r="S194" s="4"/>
      <c r="T194" s="48">
        <v>30</v>
      </c>
      <c r="U194" s="4">
        <v>48</v>
      </c>
      <c r="V194" s="4">
        <f>T194*S194</f>
        <v>0</v>
      </c>
      <c r="W194" s="4">
        <f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43">
        <v>0.5</v>
      </c>
      <c r="I195" s="43">
        <v>0.6875</v>
      </c>
      <c r="J195" s="4">
        <v>270</v>
      </c>
      <c r="K195" s="43"/>
      <c r="L195" s="43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4"/>
      <c r="T195" s="48">
        <v>30</v>
      </c>
      <c r="U195" s="4">
        <v>48</v>
      </c>
      <c r="V195" s="4">
        <f>T195*S195</f>
        <v>0</v>
      </c>
      <c r="W195" s="4">
        <f>U195*S195</f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43">
        <v>0.58333333333333337</v>
      </c>
      <c r="J196" s="4">
        <v>30</v>
      </c>
      <c r="K196" s="43"/>
      <c r="L196" s="43">
        <v>0.5625</v>
      </c>
      <c r="M196" s="43">
        <v>0.58333333333333337</v>
      </c>
      <c r="N196" s="4">
        <v>30</v>
      </c>
      <c r="O196" s="4" t="s">
        <v>110</v>
      </c>
      <c r="P196" s="4" t="s">
        <v>160</v>
      </c>
      <c r="Q196" s="4"/>
      <c r="R196" s="4"/>
      <c r="S196" s="4"/>
      <c r="T196" s="48">
        <v>30</v>
      </c>
      <c r="U196" s="4">
        <v>48</v>
      </c>
      <c r="V196" s="4">
        <f>T196*S196</f>
        <v>0</v>
      </c>
      <c r="W196" s="4">
        <f>U196*S196</f>
        <v>0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43">
        <v>0.4375</v>
      </c>
      <c r="I197" s="43">
        <v>0.45833333333333331</v>
      </c>
      <c r="J197" s="4">
        <v>30</v>
      </c>
      <c r="K197" s="43"/>
      <c r="L197" s="43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4"/>
      <c r="T197" s="48">
        <v>30</v>
      </c>
      <c r="U197" s="4">
        <v>48</v>
      </c>
      <c r="V197" s="4">
        <f>T197*S197</f>
        <v>0</v>
      </c>
      <c r="W197" s="4">
        <f>U197*S197</f>
        <v>0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4"/>
      <c r="T198" s="48">
        <v>30</v>
      </c>
      <c r="U198" s="4">
        <v>48</v>
      </c>
      <c r="V198" s="4">
        <f>T198*S198</f>
        <v>0</v>
      </c>
      <c r="W198" s="4">
        <f>U198*S198</f>
        <v>0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43">
        <v>0.73958333333333337</v>
      </c>
      <c r="J199" s="4">
        <v>15</v>
      </c>
      <c r="K199" s="43"/>
      <c r="L199" s="43">
        <v>0.72916666666666663</v>
      </c>
      <c r="M199" s="43">
        <v>0.73958333333333337</v>
      </c>
      <c r="N199" s="4">
        <v>15</v>
      </c>
      <c r="O199" s="4" t="s">
        <v>26</v>
      </c>
      <c r="P199" s="4"/>
      <c r="Q199" s="4"/>
      <c r="R199" s="4"/>
      <c r="S199" s="4"/>
      <c r="T199" s="48">
        <v>30</v>
      </c>
      <c r="U199" s="4">
        <v>48</v>
      </c>
      <c r="V199" s="4">
        <f>T199*S199</f>
        <v>0</v>
      </c>
      <c r="W199" s="4">
        <f>U199*S199</f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43">
        <v>0.35416666666666669</v>
      </c>
      <c r="I200" s="43">
        <v>0.45833333333333331</v>
      </c>
      <c r="J200" s="4">
        <v>150</v>
      </c>
      <c r="K200" s="43"/>
      <c r="L200" s="43">
        <v>0.35416666666666669</v>
      </c>
      <c r="M200" s="43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"/>
      <c r="U200" s="4">
        <v>48</v>
      </c>
      <c r="V200" s="4">
        <f>T200*S200</f>
        <v>0</v>
      </c>
      <c r="W200" s="4">
        <f>U200*S200</f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45">
        <v>0.5625</v>
      </c>
      <c r="I201" s="43">
        <v>0.58333333333333337</v>
      </c>
      <c r="J201" s="4">
        <v>30</v>
      </c>
      <c r="K201" s="43"/>
      <c r="L201" s="45">
        <v>0.5625</v>
      </c>
      <c r="M201" s="43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8">
        <v>40</v>
      </c>
      <c r="U201" s="4">
        <v>48</v>
      </c>
      <c r="V201" s="4">
        <f>T201*S201</f>
        <v>0</v>
      </c>
      <c r="W201" s="4">
        <f>U201*S201</f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45">
        <v>0.375</v>
      </c>
      <c r="I202" s="43">
        <v>0.41666666666666669</v>
      </c>
      <c r="J202" s="4">
        <v>60</v>
      </c>
      <c r="K202" s="43"/>
      <c r="L202" s="45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8">
        <v>30</v>
      </c>
      <c r="U202" s="4">
        <v>48</v>
      </c>
      <c r="V202" s="4">
        <f>T202*S202</f>
        <v>0</v>
      </c>
      <c r="W202" s="4">
        <f>U202*S202</f>
        <v>0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43">
        <v>0.52083333333333337</v>
      </c>
      <c r="J203" s="4">
        <v>150</v>
      </c>
      <c r="K203" s="43"/>
      <c r="L203" s="45">
        <v>0.41666666666666669</v>
      </c>
      <c r="M203" s="43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4"/>
      <c r="T203" s="48">
        <v>30</v>
      </c>
      <c r="U203" s="4">
        <v>48</v>
      </c>
      <c r="V203" s="4">
        <f>T203*S203</f>
        <v>0</v>
      </c>
      <c r="W203" s="4">
        <f>U203*S203</f>
        <v>0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45">
        <v>0.66666666666666663</v>
      </c>
      <c r="I204" s="43">
        <v>0.6875</v>
      </c>
      <c r="J204" s="4">
        <v>30</v>
      </c>
      <c r="K204" s="43"/>
      <c r="L204" s="45">
        <v>0.66666666666666663</v>
      </c>
      <c r="M204" s="43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4"/>
      <c r="T204" s="48">
        <v>30</v>
      </c>
      <c r="U204" s="4">
        <v>48</v>
      </c>
      <c r="V204" s="4">
        <f>T204*S204</f>
        <v>0</v>
      </c>
      <c r="W204" s="4">
        <f>U204*S204</f>
        <v>0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45">
        <v>0.41666666666666669</v>
      </c>
      <c r="I205" s="43">
        <v>0.42708333333333337</v>
      </c>
      <c r="J205" s="4">
        <v>15</v>
      </c>
      <c r="K205" s="43"/>
      <c r="L205" s="45">
        <v>0.41666666666666669</v>
      </c>
      <c r="M205" s="43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8">
        <v>30</v>
      </c>
      <c r="U205" s="4">
        <v>48</v>
      </c>
      <c r="V205" s="4">
        <f>T205*S205</f>
        <v>0</v>
      </c>
      <c r="W205" s="4">
        <f>U205*S205</f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45">
        <v>0.5625</v>
      </c>
      <c r="I206" s="43">
        <v>0.58333333333333337</v>
      </c>
      <c r="J206" s="4">
        <v>30</v>
      </c>
      <c r="K206" s="43"/>
      <c r="L206" s="45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8">
        <v>32</v>
      </c>
      <c r="U206" s="4">
        <v>48</v>
      </c>
      <c r="V206" s="4">
        <f>T206*S206</f>
        <v>0</v>
      </c>
      <c r="W206" s="4">
        <f>U206*S206</f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43">
        <v>0.8125</v>
      </c>
      <c r="J207" s="4">
        <v>300</v>
      </c>
      <c r="K207" s="43"/>
      <c r="L207" s="45">
        <v>0.60416666666666663</v>
      </c>
      <c r="M207" s="43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8">
        <v>32</v>
      </c>
      <c r="U207" s="4">
        <v>48</v>
      </c>
      <c r="V207" s="4">
        <f>T207*S207</f>
        <v>0</v>
      </c>
      <c r="W207" s="4">
        <f>U207*S207</f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43">
        <v>0.45833333333333331</v>
      </c>
      <c r="I208" s="43">
        <v>0.5</v>
      </c>
      <c r="J208" s="4">
        <v>60</v>
      </c>
      <c r="K208" s="43"/>
      <c r="L208" s="43">
        <v>0.45833333333333331</v>
      </c>
      <c r="M208" s="43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4"/>
      <c r="T208" s="48">
        <v>32</v>
      </c>
      <c r="U208" s="4">
        <v>48</v>
      </c>
      <c r="V208" s="4">
        <f>T208*S208</f>
        <v>0</v>
      </c>
      <c r="W208" s="4">
        <f>U208*S208</f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45">
        <v>0.41666666666666669</v>
      </c>
      <c r="I209" s="43">
        <v>0.45833333333333337</v>
      </c>
      <c r="J209" s="4">
        <v>60</v>
      </c>
      <c r="K209" s="43"/>
      <c r="L209" s="45">
        <v>0.41666666666666669</v>
      </c>
      <c r="M209" s="43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4"/>
      <c r="T209" s="48">
        <v>32</v>
      </c>
      <c r="U209" s="4">
        <v>48</v>
      </c>
      <c r="V209" s="4">
        <f>T209*S209</f>
        <v>0</v>
      </c>
      <c r="W209" s="4">
        <f>U209*S209</f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45">
        <v>0.41666666666666669</v>
      </c>
      <c r="I210" s="43">
        <v>0.4375</v>
      </c>
      <c r="J210" s="4">
        <v>30</v>
      </c>
      <c r="K210" s="43"/>
      <c r="L210" s="45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8">
        <v>38</v>
      </c>
      <c r="U210" s="4">
        <v>48</v>
      </c>
      <c r="V210" s="4">
        <f>T210*S210</f>
        <v>0</v>
      </c>
      <c r="W210" s="4">
        <f>U210*S210</f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43">
        <v>0.58333333333333337</v>
      </c>
      <c r="J211" s="4">
        <v>150</v>
      </c>
      <c r="K211" s="43"/>
      <c r="L211" s="45">
        <v>0.47916666666666669</v>
      </c>
      <c r="M211" s="43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8">
        <v>38</v>
      </c>
      <c r="U211" s="4">
        <v>48</v>
      </c>
      <c r="V211" s="4">
        <f>T211*S211</f>
        <v>0</v>
      </c>
      <c r="W211" s="4">
        <f>U211*S211</f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45">
        <v>0.625</v>
      </c>
      <c r="I212" s="43">
        <v>0.64583333333333337</v>
      </c>
      <c r="J212" s="4">
        <v>30</v>
      </c>
      <c r="K212" s="43"/>
      <c r="L212" s="45">
        <v>0.625</v>
      </c>
      <c r="M212" s="43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8">
        <v>38</v>
      </c>
      <c r="U212" s="4">
        <v>48</v>
      </c>
      <c r="V212" s="4">
        <f>T212*S212</f>
        <v>0</v>
      </c>
      <c r="W212" s="4">
        <f>U212*S212</f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45">
        <v>0.64583333333333337</v>
      </c>
      <c r="I213" s="43">
        <v>0.66666666666666674</v>
      </c>
      <c r="J213" s="4">
        <v>30</v>
      </c>
      <c r="K213" s="43"/>
      <c r="L213" s="45">
        <v>0.64583333333333337</v>
      </c>
      <c r="M213" s="43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8">
        <v>38</v>
      </c>
      <c r="U213" s="4">
        <v>48</v>
      </c>
      <c r="V213" s="4">
        <f>T213*S213</f>
        <v>0</v>
      </c>
      <c r="W213" s="4">
        <f>U213*S213</f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45">
        <v>0.39583333333333331</v>
      </c>
      <c r="I214" s="43">
        <v>0.41666666666666663</v>
      </c>
      <c r="J214" s="4">
        <v>30</v>
      </c>
      <c r="K214" s="43"/>
      <c r="L214" s="45">
        <v>0.39583333333333331</v>
      </c>
      <c r="M214" s="43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8">
        <v>25</v>
      </c>
      <c r="U214" s="4">
        <v>48</v>
      </c>
      <c r="V214" s="4">
        <f>T214*S214</f>
        <v>0</v>
      </c>
      <c r="W214" s="4">
        <f>U214*S214</f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45">
        <v>0.41666666666666669</v>
      </c>
      <c r="I215" s="43">
        <v>0.4375</v>
      </c>
      <c r="J215" s="4">
        <v>30</v>
      </c>
      <c r="K215" s="43"/>
      <c r="L215" s="45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8">
        <v>30</v>
      </c>
      <c r="U215" s="4">
        <v>48</v>
      </c>
      <c r="V215" s="4">
        <f>T215*S215</f>
        <v>0</v>
      </c>
      <c r="W215" s="4">
        <f>U215*S215</f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43">
        <v>0.54166666666666674</v>
      </c>
      <c r="J216" s="4">
        <v>90</v>
      </c>
      <c r="K216" s="43"/>
      <c r="L216" s="45">
        <v>0.47916666666666669</v>
      </c>
      <c r="M216" s="43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8">
        <v>30</v>
      </c>
      <c r="U216" s="4">
        <v>48</v>
      </c>
      <c r="V216" s="4">
        <f>T216*S216</f>
        <v>0</v>
      </c>
      <c r="W216" s="4">
        <f>U216*S216</f>
        <v>0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216"/>
  <sheetViews>
    <sheetView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43">
        <v>0.58333333333333337</v>
      </c>
      <c r="I2" s="43">
        <v>0.61458333333333337</v>
      </c>
      <c r="J2" s="4">
        <v>45</v>
      </c>
      <c r="K2" s="43"/>
      <c r="L2" s="43">
        <v>0.58333333333333337</v>
      </c>
      <c r="M2" s="43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4"/>
      <c r="T2" s="48">
        <v>30</v>
      </c>
      <c r="U2" s="4">
        <v>48</v>
      </c>
      <c r="V2" s="4">
        <f>T2*S2</f>
        <v>0</v>
      </c>
      <c r="W2" s="4">
        <f>U2*S2</f>
        <v>0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44">
        <v>0.5625</v>
      </c>
      <c r="I3" s="44">
        <v>0.57291666666666663</v>
      </c>
      <c r="J3" s="9">
        <v>15</v>
      </c>
      <c r="K3" s="44"/>
      <c r="L3" s="44">
        <v>0.5625</v>
      </c>
      <c r="M3" s="44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9"/>
      <c r="T3" s="49">
        <v>30</v>
      </c>
      <c r="U3" s="9">
        <v>48</v>
      </c>
      <c r="V3" s="4">
        <f>T3*S3</f>
        <v>0</v>
      </c>
      <c r="W3" s="4">
        <f>U3*S3</f>
        <v>0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45">
        <v>0.39583333333333331</v>
      </c>
      <c r="I4" s="43">
        <v>0.41666666666666663</v>
      </c>
      <c r="J4" s="4">
        <v>30</v>
      </c>
      <c r="K4" s="43"/>
      <c r="L4" s="45">
        <v>0.39583333333333331</v>
      </c>
      <c r="M4" s="43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4"/>
      <c r="T4" s="48">
        <v>30</v>
      </c>
      <c r="U4" s="4">
        <v>48</v>
      </c>
      <c r="V4" s="4">
        <f>T4*S4</f>
        <v>0</v>
      </c>
      <c r="W4" s="4">
        <f>U4*S4</f>
        <v>0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43">
        <v>0.5625</v>
      </c>
      <c r="I5" s="43">
        <v>0.72916666666666663</v>
      </c>
      <c r="J5" s="4">
        <v>240</v>
      </c>
      <c r="K5" s="43"/>
      <c r="L5" s="43">
        <v>0.5625</v>
      </c>
      <c r="M5" s="43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4"/>
      <c r="T5" s="48">
        <v>30</v>
      </c>
      <c r="U5" s="4">
        <v>48</v>
      </c>
      <c r="V5" s="4">
        <f>T5*S5</f>
        <v>0</v>
      </c>
      <c r="W5" s="4">
        <f>U5*S5</f>
        <v>0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43">
        <v>0.47916666666666669</v>
      </c>
      <c r="I6" s="43">
        <v>0.49305555555555558</v>
      </c>
      <c r="J6" s="4">
        <v>20</v>
      </c>
      <c r="K6" s="43"/>
      <c r="L6" s="43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4"/>
      <c r="T6" s="48">
        <v>30</v>
      </c>
      <c r="U6" s="4">
        <v>48</v>
      </c>
      <c r="V6" s="4">
        <f>T6*S6</f>
        <v>0</v>
      </c>
      <c r="W6" s="4">
        <f>U6*S6</f>
        <v>0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43">
        <v>0.51388888888888884</v>
      </c>
      <c r="J7" s="4">
        <v>20</v>
      </c>
      <c r="K7" s="43"/>
      <c r="L7" s="45">
        <v>0.5</v>
      </c>
      <c r="M7" s="43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4"/>
      <c r="T7" s="48">
        <v>30</v>
      </c>
      <c r="U7" s="4">
        <v>48</v>
      </c>
      <c r="V7" s="4">
        <f>T7*S7</f>
        <v>0</v>
      </c>
      <c r="W7" s="4">
        <f>U7*S7</f>
        <v>0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45">
        <v>0.45833333333333331</v>
      </c>
      <c r="I8" s="43">
        <v>0.47916666666666663</v>
      </c>
      <c r="J8" s="4">
        <v>30</v>
      </c>
      <c r="K8" s="43"/>
      <c r="L8" s="45">
        <v>0.45833333333333331</v>
      </c>
      <c r="M8" s="43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4"/>
      <c r="T8" s="48">
        <v>30</v>
      </c>
      <c r="U8" s="4">
        <v>48</v>
      </c>
      <c r="V8" s="4">
        <f>T8*S8</f>
        <v>0</v>
      </c>
      <c r="W8" s="4">
        <f>U8*S8</f>
        <v>0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45">
        <v>0.375</v>
      </c>
      <c r="I9" s="43">
        <v>0.41666666666666669</v>
      </c>
      <c r="J9" s="4">
        <v>60</v>
      </c>
      <c r="K9" s="43"/>
      <c r="L9" s="45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4"/>
      <c r="T9" s="48">
        <v>30</v>
      </c>
      <c r="U9" s="4">
        <v>48</v>
      </c>
      <c r="V9" s="4">
        <f>T9*S9</f>
        <v>0</v>
      </c>
      <c r="W9" s="4">
        <f>U9*S9</f>
        <v>0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43">
        <v>0.45833333333333337</v>
      </c>
      <c r="J10" s="4">
        <v>60</v>
      </c>
      <c r="K10" s="43"/>
      <c r="L10" s="43">
        <v>0.41666666666666669</v>
      </c>
      <c r="M10" s="43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4"/>
      <c r="T10" s="48">
        <v>30</v>
      </c>
      <c r="U10" s="4">
        <v>48</v>
      </c>
      <c r="V10" s="4">
        <f>T10*S10</f>
        <v>0</v>
      </c>
      <c r="W10" s="4">
        <f>U10*S10</f>
        <v>0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43">
        <v>0.53125</v>
      </c>
      <c r="I11" s="43">
        <v>0.58333333333333337</v>
      </c>
      <c r="J11" s="4">
        <v>75</v>
      </c>
      <c r="K11" s="43"/>
      <c r="L11" s="43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4"/>
      <c r="T11" s="48">
        <v>30</v>
      </c>
      <c r="U11" s="4">
        <v>48</v>
      </c>
      <c r="V11" s="4">
        <f>T11*S11</f>
        <v>0</v>
      </c>
      <c r="W11" s="4">
        <f>U11*S11</f>
        <v>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43">
        <v>0.625</v>
      </c>
      <c r="J12" s="4">
        <v>60</v>
      </c>
      <c r="K12" s="43"/>
      <c r="L12" s="43">
        <v>0.58333333333333337</v>
      </c>
      <c r="M12" s="43">
        <v>0.625</v>
      </c>
      <c r="N12" s="4">
        <v>60</v>
      </c>
      <c r="O12" s="4" t="s">
        <v>167</v>
      </c>
      <c r="P12" s="4"/>
      <c r="Q12" s="4"/>
      <c r="R12" s="4"/>
      <c r="S12" s="4"/>
      <c r="T12" s="48">
        <v>30</v>
      </c>
      <c r="U12" s="4">
        <v>48</v>
      </c>
      <c r="V12" s="4">
        <f>T12*S12</f>
        <v>0</v>
      </c>
      <c r="W12" s="4">
        <f>U12*S12</f>
        <v>0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45">
        <v>0.40277777777777773</v>
      </c>
      <c r="I13" s="43">
        <v>0.42361111111111105</v>
      </c>
      <c r="J13" s="4">
        <v>30</v>
      </c>
      <c r="K13" s="43"/>
      <c r="L13" s="45">
        <v>0.40277777777777773</v>
      </c>
      <c r="M13" s="43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4"/>
      <c r="T13" s="48">
        <v>30</v>
      </c>
      <c r="U13" s="4">
        <v>48</v>
      </c>
      <c r="V13" s="4">
        <f>T13*S13</f>
        <v>0</v>
      </c>
      <c r="W13" s="4">
        <f>U13*S13</f>
        <v>0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45">
        <v>0.6875</v>
      </c>
      <c r="I14" s="43">
        <v>0.70833333333333337</v>
      </c>
      <c r="J14" s="4">
        <v>30</v>
      </c>
      <c r="K14" s="43"/>
      <c r="L14" s="45">
        <v>0.6875</v>
      </c>
      <c r="M14" s="43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4"/>
      <c r="T14" s="48">
        <v>32</v>
      </c>
      <c r="U14" s="4">
        <v>48</v>
      </c>
      <c r="V14" s="4">
        <f>T14*S14</f>
        <v>0</v>
      </c>
      <c r="W14" s="4">
        <f>U14*S14</f>
        <v>0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45">
        <v>0.63541666666666663</v>
      </c>
      <c r="I15" s="43">
        <v>0.65625</v>
      </c>
      <c r="J15" s="4">
        <v>45</v>
      </c>
      <c r="K15" s="43"/>
      <c r="L15" s="45">
        <v>0.63541666666666663</v>
      </c>
      <c r="M15" s="43">
        <v>0.65625</v>
      </c>
      <c r="N15" s="4">
        <v>45</v>
      </c>
      <c r="O15" s="6" t="s">
        <v>695</v>
      </c>
      <c r="P15" s="4"/>
      <c r="Q15" s="4"/>
      <c r="R15" s="4"/>
      <c r="S15" s="4"/>
      <c r="T15" s="48">
        <v>32</v>
      </c>
      <c r="U15" s="4">
        <v>48</v>
      </c>
      <c r="V15" s="4">
        <f>T15*S15</f>
        <v>0</v>
      </c>
      <c r="W15" s="4">
        <f>U15*S15</f>
        <v>0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45">
        <v>0.33333333333333331</v>
      </c>
      <c r="I16" s="43">
        <v>0.35416666666666663</v>
      </c>
      <c r="J16" s="4">
        <v>30</v>
      </c>
      <c r="K16" s="43"/>
      <c r="L16" s="45">
        <v>0.33333333333333331</v>
      </c>
      <c r="M16" s="43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4"/>
      <c r="T16" s="48">
        <v>32</v>
      </c>
      <c r="U16" s="4">
        <v>48</v>
      </c>
      <c r="V16" s="4">
        <f>T16*S16</f>
        <v>0</v>
      </c>
      <c r="W16" s="4">
        <f>U16*S16</f>
        <v>0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45">
        <v>0.36458333333333331</v>
      </c>
      <c r="I17" s="43">
        <v>0.375</v>
      </c>
      <c r="J17" s="4">
        <v>15</v>
      </c>
      <c r="K17" s="43"/>
      <c r="L17" s="45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4"/>
      <c r="T17" s="48">
        <v>32</v>
      </c>
      <c r="U17" s="4">
        <v>48</v>
      </c>
      <c r="V17" s="4">
        <f>T17*S17</f>
        <v>0</v>
      </c>
      <c r="W17" s="4">
        <f>U17*S17</f>
        <v>0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4"/>
      <c r="T18" s="48">
        <v>32</v>
      </c>
      <c r="U18" s="4">
        <v>48</v>
      </c>
      <c r="V18" s="4">
        <f>T18*S18</f>
        <v>0</v>
      </c>
      <c r="W18" s="4">
        <f>U18*S18</f>
        <v>0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43">
        <v>0.4236111111111111</v>
      </c>
      <c r="J19" s="4">
        <v>40</v>
      </c>
      <c r="K19" s="43"/>
      <c r="L19" s="45">
        <v>0.39583333333333331</v>
      </c>
      <c r="M19" s="43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8">
        <v>32</v>
      </c>
      <c r="U19" s="4">
        <v>48</v>
      </c>
      <c r="V19" s="4">
        <f>T19*S19</f>
        <v>0</v>
      </c>
      <c r="W19" s="4">
        <f>U19*S19</f>
        <v>0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45">
        <v>0.5</v>
      </c>
      <c r="I20" s="43">
        <v>0.51041666666666663</v>
      </c>
      <c r="J20" s="4">
        <v>15</v>
      </c>
      <c r="K20" s="43"/>
      <c r="L20" s="45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4"/>
      <c r="T20" s="48">
        <v>32</v>
      </c>
      <c r="U20" s="4">
        <v>48</v>
      </c>
      <c r="V20" s="4">
        <f>T20*S20</f>
        <v>0</v>
      </c>
      <c r="W20" s="4">
        <f>U20*S20</f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4"/>
      <c r="T21" s="48">
        <v>32</v>
      </c>
      <c r="U21" s="4">
        <v>48</v>
      </c>
      <c r="V21" s="4">
        <f>T21*S21</f>
        <v>0</v>
      </c>
      <c r="W21" s="4">
        <f>U21*S21</f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43">
        <v>0.54861111111111116</v>
      </c>
      <c r="J22" s="4">
        <v>40</v>
      </c>
      <c r="K22" s="43"/>
      <c r="L22" s="43">
        <v>0.52777777777777779</v>
      </c>
      <c r="M22" s="43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4"/>
      <c r="T22" s="48">
        <v>32</v>
      </c>
      <c r="U22" s="4">
        <v>48</v>
      </c>
      <c r="V22" s="4">
        <f>T22*S22</f>
        <v>0</v>
      </c>
      <c r="W22" s="4">
        <f>U22*S22</f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43">
        <v>0.55208333333333337</v>
      </c>
      <c r="I23" s="43">
        <v>0.5625</v>
      </c>
      <c r="J23" s="4">
        <v>15</v>
      </c>
      <c r="K23" s="43"/>
      <c r="L23" s="43">
        <v>0.55208333333333337</v>
      </c>
      <c r="M23" s="43">
        <v>0.5625</v>
      </c>
      <c r="N23" s="4">
        <v>15</v>
      </c>
      <c r="O23" s="4" t="s">
        <v>107</v>
      </c>
      <c r="P23" s="4" t="s">
        <v>523</v>
      </c>
      <c r="Q23" s="4"/>
      <c r="R23" s="4"/>
      <c r="S23" s="4"/>
      <c r="T23" s="48">
        <v>32</v>
      </c>
      <c r="U23" s="4">
        <v>48</v>
      </c>
      <c r="V23" s="4">
        <f>T23*S23</f>
        <v>0</v>
      </c>
      <c r="W23" s="4">
        <f>U23*S23</f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45">
        <v>0.4375</v>
      </c>
      <c r="I24" s="43">
        <v>0.45833333333333331</v>
      </c>
      <c r="J24" s="4">
        <v>30</v>
      </c>
      <c r="K24" s="43"/>
      <c r="L24" s="45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4"/>
      <c r="T24" s="48">
        <v>32</v>
      </c>
      <c r="U24" s="4">
        <v>48</v>
      </c>
      <c r="V24" s="4">
        <f>T24*S24</f>
        <v>0</v>
      </c>
      <c r="W24" s="4">
        <f>U24*S24</f>
        <v>0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43">
        <v>0.5</v>
      </c>
      <c r="J25" s="4">
        <v>45</v>
      </c>
      <c r="K25" s="43"/>
      <c r="L25" s="43">
        <v>0.46875</v>
      </c>
      <c r="M25" s="43">
        <v>0.5</v>
      </c>
      <c r="N25" s="4">
        <v>45</v>
      </c>
      <c r="O25" s="4" t="s">
        <v>82</v>
      </c>
      <c r="P25" s="4" t="s">
        <v>83</v>
      </c>
      <c r="Q25" s="4"/>
      <c r="R25" s="4"/>
      <c r="S25" s="4"/>
      <c r="T25" s="48">
        <v>32</v>
      </c>
      <c r="U25" s="4">
        <v>48</v>
      </c>
      <c r="V25" s="4">
        <f>T25*S25</f>
        <v>0</v>
      </c>
      <c r="W25" s="4">
        <f>U25*S25</f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45">
        <v>0.54166666666666663</v>
      </c>
      <c r="I26" s="43">
        <v>0.57638888888888895</v>
      </c>
      <c r="J26" s="4">
        <v>50</v>
      </c>
      <c r="K26" s="43"/>
      <c r="L26" s="45">
        <v>0.54166666666666663</v>
      </c>
      <c r="M26" s="43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4"/>
      <c r="T26" s="48">
        <v>32</v>
      </c>
      <c r="U26" s="4">
        <v>48</v>
      </c>
      <c r="V26" s="4">
        <f>T26*S26</f>
        <v>0</v>
      </c>
      <c r="W26" s="4">
        <f>U26*S26</f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45">
        <v>0.39583333333333331</v>
      </c>
      <c r="I27" s="43">
        <v>0.41666666666666663</v>
      </c>
      <c r="J27" s="4">
        <v>30</v>
      </c>
      <c r="K27" s="43"/>
      <c r="L27" s="45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4"/>
      <c r="T27" s="48">
        <v>32</v>
      </c>
      <c r="U27" s="4">
        <v>48</v>
      </c>
      <c r="V27" s="4">
        <f>T27*S27</f>
        <v>0</v>
      </c>
      <c r="W27" s="4">
        <f>U27*S27</f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43">
        <v>0.45833333333333337</v>
      </c>
      <c r="J28" s="4">
        <v>60</v>
      </c>
      <c r="K28" s="43"/>
      <c r="L28" s="45">
        <v>0.41666666666666669</v>
      </c>
      <c r="M28" s="43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4"/>
      <c r="T28" s="48">
        <v>32</v>
      </c>
      <c r="U28" s="4">
        <v>48</v>
      </c>
      <c r="V28" s="4">
        <f>T28*S28</f>
        <v>0</v>
      </c>
      <c r="W28" s="4">
        <f>U28*S28</f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43">
        <v>0.47916666666666669</v>
      </c>
      <c r="I29" s="43">
        <v>0.5</v>
      </c>
      <c r="J29" s="4">
        <v>30</v>
      </c>
      <c r="K29" s="43"/>
      <c r="L29" s="43">
        <v>0.47916666666666669</v>
      </c>
      <c r="M29" s="43">
        <v>0.5</v>
      </c>
      <c r="N29" s="4">
        <v>30</v>
      </c>
      <c r="O29" s="4" t="s">
        <v>156</v>
      </c>
      <c r="P29" s="4" t="s">
        <v>269</v>
      </c>
      <c r="Q29" s="4"/>
      <c r="R29" s="4"/>
      <c r="S29" s="4"/>
      <c r="T29" s="48">
        <v>32</v>
      </c>
      <c r="U29" s="4">
        <v>48</v>
      </c>
      <c r="V29" s="4">
        <f>T29*S29</f>
        <v>0</v>
      </c>
      <c r="W29" s="4">
        <f>U29*S29</f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45">
        <v>0.60416666666666663</v>
      </c>
      <c r="I30" s="43">
        <v>0.625</v>
      </c>
      <c r="J30" s="4">
        <v>30</v>
      </c>
      <c r="K30" s="43"/>
      <c r="L30" s="45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8">
        <v>32</v>
      </c>
      <c r="U30" s="4">
        <v>48</v>
      </c>
      <c r="V30" s="4">
        <f>T30*S30</f>
        <v>0</v>
      </c>
      <c r="W30" s="4">
        <f>U30*S30</f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43">
        <v>0.70833333333333337</v>
      </c>
      <c r="J31" s="4">
        <v>90</v>
      </c>
      <c r="K31" s="43"/>
      <c r="L31" s="45">
        <v>0.64583333333333337</v>
      </c>
      <c r="M31" s="43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8">
        <v>32</v>
      </c>
      <c r="U31" s="4">
        <v>48</v>
      </c>
      <c r="V31" s="4">
        <f>T31*S31</f>
        <v>0</v>
      </c>
      <c r="W31" s="4">
        <f>U31*S31</f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45">
        <v>0.64583333333333337</v>
      </c>
      <c r="I32" s="43">
        <v>0.6875</v>
      </c>
      <c r="J32" s="4">
        <v>60</v>
      </c>
      <c r="K32" s="43"/>
      <c r="L32" s="45">
        <v>0.64583333333333337</v>
      </c>
      <c r="M32" s="43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8">
        <v>32</v>
      </c>
      <c r="U32" s="4">
        <v>48</v>
      </c>
      <c r="V32" s="4">
        <f>T32*S32</f>
        <v>0</v>
      </c>
      <c r="W32" s="4">
        <f>U32*S32</f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45">
        <v>0.375</v>
      </c>
      <c r="I33" s="43">
        <v>0.38541666666666669</v>
      </c>
      <c r="J33" s="4">
        <v>15</v>
      </c>
      <c r="K33" s="43"/>
      <c r="L33" s="45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8">
        <v>32</v>
      </c>
      <c r="U33" s="4">
        <v>48</v>
      </c>
      <c r="V33" s="4">
        <f>T33*S33</f>
        <v>0</v>
      </c>
      <c r="W33" s="4">
        <f>U33*S33</f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8">
        <v>32</v>
      </c>
      <c r="U34" s="4">
        <v>48</v>
      </c>
      <c r="V34" s="4">
        <f>T34*S34</f>
        <v>0</v>
      </c>
      <c r="W34" s="4">
        <f>U34*S34</f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43">
        <v>0.43750000000000006</v>
      </c>
      <c r="J35" s="4">
        <v>40</v>
      </c>
      <c r="K35" s="43"/>
      <c r="L35" s="45">
        <v>0.40972222222222227</v>
      </c>
      <c r="M35" s="43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8">
        <v>32</v>
      </c>
      <c r="U35" s="4">
        <v>48</v>
      </c>
      <c r="V35" s="4">
        <f>T35*S35</f>
        <v>0</v>
      </c>
      <c r="W35" s="4">
        <f>U35*S35</f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45">
        <v>0.64583333333333337</v>
      </c>
      <c r="I36" s="43">
        <v>0.66666666666666674</v>
      </c>
      <c r="J36" s="4">
        <v>30</v>
      </c>
      <c r="K36" s="43"/>
      <c r="L36" s="45">
        <v>0.64583333333333337</v>
      </c>
      <c r="M36" s="43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8">
        <v>32</v>
      </c>
      <c r="U36" s="4">
        <v>48</v>
      </c>
      <c r="V36" s="4">
        <f>T36*S36</f>
        <v>0</v>
      </c>
      <c r="W36" s="4">
        <f>U36*S36</f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45">
        <v>0.64236111111111105</v>
      </c>
      <c r="I37" s="43">
        <v>0.66666666666666663</v>
      </c>
      <c r="J37" s="4">
        <v>35</v>
      </c>
      <c r="K37" s="43"/>
      <c r="L37" s="45">
        <v>0.64236111111111105</v>
      </c>
      <c r="M37" s="43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4"/>
      <c r="T37" s="48">
        <v>32</v>
      </c>
      <c r="U37" s="4">
        <v>48</v>
      </c>
      <c r="V37" s="4">
        <f>T37*S37</f>
        <v>0</v>
      </c>
      <c r="W37" s="4">
        <f>U37*S37</f>
        <v>0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45">
        <v>0.66666666666666663</v>
      </c>
      <c r="I38" s="43">
        <v>0.6875</v>
      </c>
      <c r="J38" s="4">
        <v>30</v>
      </c>
      <c r="K38" s="43"/>
      <c r="L38" s="45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4"/>
      <c r="T38" s="48">
        <v>32</v>
      </c>
      <c r="U38" s="4">
        <v>48</v>
      </c>
      <c r="V38" s="4">
        <f>T38*S38</f>
        <v>0</v>
      </c>
      <c r="W38" s="4">
        <f>U38*S38</f>
        <v>0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43">
        <v>0.70833333333333337</v>
      </c>
      <c r="J39" s="4">
        <v>30</v>
      </c>
      <c r="K39" s="43"/>
      <c r="L39" s="45">
        <v>0.6875</v>
      </c>
      <c r="M39" s="43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4"/>
      <c r="T39" s="48">
        <v>32</v>
      </c>
      <c r="U39" s="4">
        <v>48</v>
      </c>
      <c r="V39" s="4">
        <f>T39*S39</f>
        <v>0</v>
      </c>
      <c r="W39" s="4">
        <f>U39*S39</f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45">
        <v>0.54166666666666663</v>
      </c>
      <c r="I40" s="43">
        <v>0.5625</v>
      </c>
      <c r="J40" s="4">
        <v>30</v>
      </c>
      <c r="K40" s="43"/>
      <c r="L40" s="45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4"/>
      <c r="T40" s="48">
        <v>32</v>
      </c>
      <c r="U40" s="4">
        <v>48</v>
      </c>
      <c r="V40" s="4">
        <f>T40*S40</f>
        <v>0</v>
      </c>
      <c r="W40" s="4">
        <f>U40*S40</f>
        <v>0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43">
        <v>0.60416666666666663</v>
      </c>
      <c r="J41" s="4">
        <v>15</v>
      </c>
      <c r="K41" s="43"/>
      <c r="L41" s="45">
        <v>0.59375</v>
      </c>
      <c r="M41" s="43">
        <v>0.60416666666666663</v>
      </c>
      <c r="N41" s="4">
        <v>15</v>
      </c>
      <c r="O41" s="6" t="s">
        <v>26</v>
      </c>
      <c r="P41" s="4" t="s">
        <v>372</v>
      </c>
      <c r="Q41" s="4"/>
      <c r="R41" s="4"/>
      <c r="S41" s="4"/>
      <c r="T41" s="48">
        <v>32</v>
      </c>
      <c r="U41" s="4">
        <v>48</v>
      </c>
      <c r="V41" s="4">
        <f>T41*S41</f>
        <v>0</v>
      </c>
      <c r="W41" s="4">
        <f>U41*S41</f>
        <v>0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43">
        <v>0.60416666666666663</v>
      </c>
      <c r="I42" s="43">
        <v>0.625</v>
      </c>
      <c r="J42" s="4">
        <v>30</v>
      </c>
      <c r="K42" s="43"/>
      <c r="L42" s="43">
        <v>0.60416666666666663</v>
      </c>
      <c r="M42" s="43">
        <v>0.625</v>
      </c>
      <c r="N42" s="4">
        <v>30</v>
      </c>
      <c r="O42" s="4" t="s">
        <v>291</v>
      </c>
      <c r="P42" s="4" t="s">
        <v>681</v>
      </c>
      <c r="Q42" s="4"/>
      <c r="R42" s="4"/>
      <c r="S42" s="4"/>
      <c r="T42" s="48">
        <v>32</v>
      </c>
      <c r="U42" s="4">
        <v>48</v>
      </c>
      <c r="V42" s="4">
        <f>T42*S42</f>
        <v>0</v>
      </c>
      <c r="W42" s="4">
        <f>U42*S42</f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43">
        <v>0.60069444444444442</v>
      </c>
      <c r="I43" s="43">
        <v>0.64236111111111105</v>
      </c>
      <c r="J43" s="4">
        <v>60</v>
      </c>
      <c r="K43" s="43"/>
      <c r="L43" s="43">
        <v>0.60069444444444442</v>
      </c>
      <c r="M43" s="43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8">
        <v>32</v>
      </c>
      <c r="U43" s="4">
        <v>48</v>
      </c>
      <c r="V43" s="4">
        <f>T43*S43</f>
        <v>0</v>
      </c>
      <c r="W43" s="4">
        <f>U43*S43</f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45">
        <v>0.64583333333333337</v>
      </c>
      <c r="I44" s="43">
        <v>0.6875</v>
      </c>
      <c r="J44" s="4">
        <v>60</v>
      </c>
      <c r="K44" s="43"/>
      <c r="L44" s="45">
        <v>0.64583333333333337</v>
      </c>
      <c r="M44" s="43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8">
        <v>32</v>
      </c>
      <c r="U44" s="4">
        <v>48</v>
      </c>
      <c r="V44" s="4">
        <f>T44*S44</f>
        <v>0</v>
      </c>
      <c r="W44" s="4">
        <f>U44*S44</f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45">
        <v>0.41666666666666669</v>
      </c>
      <c r="I45" s="43">
        <v>0.4375</v>
      </c>
      <c r="J45" s="4">
        <v>30</v>
      </c>
      <c r="K45" s="43"/>
      <c r="L45" s="45">
        <v>0.41666666666666669</v>
      </c>
      <c r="M45" s="43">
        <v>0.4375</v>
      </c>
      <c r="N45" s="4">
        <v>30</v>
      </c>
      <c r="O45" s="6" t="s">
        <v>146</v>
      </c>
      <c r="P45" s="4"/>
      <c r="Q45" s="4"/>
      <c r="R45" s="4"/>
      <c r="S45" s="4"/>
      <c r="T45" s="48">
        <v>27</v>
      </c>
      <c r="U45" s="4">
        <v>48</v>
      </c>
      <c r="V45" s="4">
        <f>T45*S45</f>
        <v>0</v>
      </c>
      <c r="W45" s="4">
        <f>U45*S45</f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43">
        <v>0.3125</v>
      </c>
      <c r="I46" s="43">
        <v>0.32291666666666669</v>
      </c>
      <c r="J46" s="4">
        <v>15</v>
      </c>
      <c r="K46" s="43"/>
      <c r="L46" s="43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8">
        <v>27</v>
      </c>
      <c r="U46" s="4">
        <v>48</v>
      </c>
      <c r="V46" s="4">
        <f>T46*S46</f>
        <v>0</v>
      </c>
      <c r="W46" s="4">
        <f>U46*S46</f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8">
        <v>27</v>
      </c>
      <c r="U47" s="4">
        <v>48</v>
      </c>
      <c r="V47" s="4">
        <f>T47*S47</f>
        <v>0</v>
      </c>
      <c r="W47" s="4">
        <f>U47*S47</f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43">
        <v>0.38541666666666669</v>
      </c>
      <c r="J48" s="4">
        <v>15</v>
      </c>
      <c r="K48" s="43"/>
      <c r="L48" s="43">
        <v>0.375</v>
      </c>
      <c r="M48" s="43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8">
        <v>27</v>
      </c>
      <c r="U48" s="4">
        <v>48</v>
      </c>
      <c r="V48" s="4">
        <f>T48*S48</f>
        <v>0</v>
      </c>
      <c r="W48" s="4">
        <f>U48*S48</f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45">
        <v>0.33333333333333331</v>
      </c>
      <c r="I49" s="43">
        <v>0.41666666666666663</v>
      </c>
      <c r="J49" s="4">
        <v>120</v>
      </c>
      <c r="K49" s="43"/>
      <c r="L49" s="45">
        <v>0.33333333333333331</v>
      </c>
      <c r="M49" s="43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8">
        <v>27</v>
      </c>
      <c r="U49" s="4">
        <v>48</v>
      </c>
      <c r="V49" s="4">
        <f>T49*S49</f>
        <v>0</v>
      </c>
      <c r="W49" s="4">
        <f>U49*S49</f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45">
        <v>0.48958333333333331</v>
      </c>
      <c r="I50" s="43">
        <v>0.57291666666666663</v>
      </c>
      <c r="J50" s="4">
        <v>120</v>
      </c>
      <c r="K50" s="43"/>
      <c r="L50" s="45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8">
        <v>30</v>
      </c>
      <c r="U50" s="4">
        <v>48</v>
      </c>
      <c r="V50" s="4">
        <f>T50*S50</f>
        <v>0</v>
      </c>
      <c r="W50" s="4">
        <f>U50*S50</f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43">
        <v>0.66666666666666663</v>
      </c>
      <c r="J51" s="4">
        <v>150</v>
      </c>
      <c r="K51" s="43"/>
      <c r="L51" s="45">
        <v>0.5625</v>
      </c>
      <c r="M51" s="43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8">
        <v>30</v>
      </c>
      <c r="U51" s="4">
        <v>48</v>
      </c>
      <c r="V51" s="4">
        <f>T51*S51</f>
        <v>0</v>
      </c>
      <c r="W51" s="4">
        <f>U51*S51</f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45">
        <v>0.58333333333333337</v>
      </c>
      <c r="I52" s="43">
        <v>0.60416666666666674</v>
      </c>
      <c r="J52" s="4">
        <v>30</v>
      </c>
      <c r="K52" s="43"/>
      <c r="L52" s="45">
        <v>0.58333333333333337</v>
      </c>
      <c r="M52" s="43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8">
        <v>30</v>
      </c>
      <c r="U52" s="4">
        <v>48</v>
      </c>
      <c r="V52" s="4">
        <f>T52*S52</f>
        <v>0</v>
      </c>
      <c r="W52" s="4">
        <f>U52*S52</f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45">
        <v>0.58333333333333337</v>
      </c>
      <c r="I53" s="43">
        <v>0.60416666666666663</v>
      </c>
      <c r="J53" s="4">
        <v>30</v>
      </c>
      <c r="K53" s="43"/>
      <c r="L53" s="45">
        <v>0.58333333333333337</v>
      </c>
      <c r="M53" s="43">
        <v>0.60416666666666663</v>
      </c>
      <c r="N53" s="4">
        <v>30</v>
      </c>
      <c r="O53" s="6" t="s">
        <v>378</v>
      </c>
      <c r="P53" s="4"/>
      <c r="Q53" s="4"/>
      <c r="R53" s="4"/>
      <c r="S53" s="4"/>
      <c r="T53" s="48">
        <v>30</v>
      </c>
      <c r="U53" s="4">
        <v>48</v>
      </c>
      <c r="V53" s="4">
        <f>T53*S53</f>
        <v>0</v>
      </c>
      <c r="W53" s="4">
        <f>U53*S53</f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45">
        <v>0.45833333333333331</v>
      </c>
      <c r="I54" s="43">
        <v>0.47916666666666663</v>
      </c>
      <c r="J54" s="4">
        <v>30</v>
      </c>
      <c r="K54" s="43"/>
      <c r="L54" s="45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4"/>
      <c r="T54" s="48">
        <v>30</v>
      </c>
      <c r="U54" s="4">
        <v>48</v>
      </c>
      <c r="V54" s="4">
        <f>T54*S54</f>
        <v>0</v>
      </c>
      <c r="W54" s="4">
        <f>U54*S54</f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43">
        <v>0.58333333333333337</v>
      </c>
      <c r="J55" s="4">
        <v>90</v>
      </c>
      <c r="K55" s="43"/>
      <c r="L55" s="45">
        <v>0.52083333333333337</v>
      </c>
      <c r="M55" s="43">
        <v>0.58333333333333337</v>
      </c>
      <c r="N55" s="4">
        <v>90</v>
      </c>
      <c r="O55" s="6" t="s">
        <v>26</v>
      </c>
      <c r="P55" s="4" t="s">
        <v>192</v>
      </c>
      <c r="Q55" s="4"/>
      <c r="R55" s="4"/>
      <c r="S55" s="4"/>
      <c r="T55" s="48">
        <v>30</v>
      </c>
      <c r="U55" s="4">
        <v>48</v>
      </c>
      <c r="V55" s="4">
        <f>T55*S55</f>
        <v>0</v>
      </c>
      <c r="W55" s="4">
        <f>U55*S55</f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45">
        <v>0.35416666666666669</v>
      </c>
      <c r="I56" s="43">
        <v>0.375</v>
      </c>
      <c r="J56" s="4">
        <v>30</v>
      </c>
      <c r="K56" s="43"/>
      <c r="L56" s="45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8">
        <v>30</v>
      </c>
      <c r="U56" s="4">
        <v>48</v>
      </c>
      <c r="V56" s="4">
        <f>T56*S56</f>
        <v>0</v>
      </c>
      <c r="W56" s="4">
        <f>U56*S56</f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43">
        <v>0.47916666666666669</v>
      </c>
      <c r="J57" s="4">
        <v>90</v>
      </c>
      <c r="K57" s="43"/>
      <c r="L57" s="45">
        <v>0.41666666666666669</v>
      </c>
      <c r="M57" s="43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8">
        <v>30</v>
      </c>
      <c r="U57" s="4">
        <v>48</v>
      </c>
      <c r="V57" s="4">
        <f>T57*S57</f>
        <v>0</v>
      </c>
      <c r="W57" s="4">
        <f>U57*S57</f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43">
        <v>0.35416666666666669</v>
      </c>
      <c r="I58" s="43">
        <v>0.45833333333333331</v>
      </c>
      <c r="J58" s="4">
        <v>150</v>
      </c>
      <c r="K58" s="43"/>
      <c r="L58" s="43">
        <v>0.35416666666666669</v>
      </c>
      <c r="M58" s="43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4"/>
      <c r="T58" s="48">
        <v>30</v>
      </c>
      <c r="U58" s="4">
        <v>48</v>
      </c>
      <c r="V58" s="4">
        <f>T58*S58</f>
        <v>0</v>
      </c>
      <c r="W58" s="4">
        <f>U58*S58</f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45">
        <v>0.63194444444444442</v>
      </c>
      <c r="I59" s="43">
        <v>0.73611111111111116</v>
      </c>
      <c r="J59" s="4">
        <v>150</v>
      </c>
      <c r="K59" s="43"/>
      <c r="L59" s="45">
        <v>0.63194444444444442</v>
      </c>
      <c r="M59" s="43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4"/>
      <c r="T59" s="48">
        <v>30</v>
      </c>
      <c r="U59" s="4">
        <v>48</v>
      </c>
      <c r="V59" s="4">
        <f>T59*S59</f>
        <v>0</v>
      </c>
      <c r="W59" s="4">
        <f>U59*S59</f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45">
        <v>0.32291666666666669</v>
      </c>
      <c r="I60" s="43">
        <v>0.375</v>
      </c>
      <c r="J60" s="4">
        <v>75</v>
      </c>
      <c r="K60" s="43"/>
      <c r="L60" s="45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8">
        <v>30</v>
      </c>
      <c r="U60" s="4">
        <v>48</v>
      </c>
      <c r="V60" s="4">
        <f>T60*S60</f>
        <v>0</v>
      </c>
      <c r="W60" s="4">
        <f>U60*S60</f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4"/>
      <c r="R61" s="4"/>
      <c r="S61" s="4"/>
      <c r="T61" s="48">
        <v>30</v>
      </c>
      <c r="U61" s="4">
        <v>48</v>
      </c>
      <c r="V61" s="4">
        <f>T61*S61</f>
        <v>0</v>
      </c>
      <c r="W61" s="4">
        <f>U61*S61</f>
        <v>0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4"/>
      <c r="T62" s="48">
        <v>30</v>
      </c>
      <c r="U62" s="4">
        <v>48</v>
      </c>
      <c r="V62" s="4">
        <f>T62*S62</f>
        <v>0</v>
      </c>
      <c r="W62" s="4">
        <f>U62*S62</f>
        <v>0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43">
        <v>0.47222222222222221</v>
      </c>
      <c r="J63" s="4">
        <v>20</v>
      </c>
      <c r="K63" s="43"/>
      <c r="L63" s="43">
        <v>0.45833333333333331</v>
      </c>
      <c r="M63" s="43">
        <v>0.47222222222222221</v>
      </c>
      <c r="N63" s="4">
        <v>20</v>
      </c>
      <c r="O63" s="4" t="s">
        <v>181</v>
      </c>
      <c r="P63" s="4" t="s">
        <v>239</v>
      </c>
      <c r="Q63" s="4"/>
      <c r="R63" s="4"/>
      <c r="S63" s="4"/>
      <c r="T63" s="48">
        <v>30</v>
      </c>
      <c r="U63" s="4">
        <v>48</v>
      </c>
      <c r="V63" s="4">
        <f>T63*S63</f>
        <v>0</v>
      </c>
      <c r="W63" s="4">
        <f>U63*S63</f>
        <v>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45">
        <v>0.45833333333333331</v>
      </c>
      <c r="I64" s="43">
        <v>0.54166666666666663</v>
      </c>
      <c r="J64" s="4">
        <v>120</v>
      </c>
      <c r="K64" s="43"/>
      <c r="L64" s="45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4"/>
      <c r="T64" s="48">
        <v>30</v>
      </c>
      <c r="U64" s="4">
        <v>48</v>
      </c>
      <c r="V64" s="4">
        <f>T64*S64</f>
        <v>0</v>
      </c>
      <c r="W64" s="4">
        <f>U64*S64</f>
        <v>0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43">
        <v>0.54166666666666663</v>
      </c>
      <c r="J65" s="4">
        <v>60</v>
      </c>
      <c r="K65" s="43"/>
      <c r="L65" s="43">
        <v>0.5</v>
      </c>
      <c r="M65" s="43">
        <v>0.54166666666666663</v>
      </c>
      <c r="N65" s="4">
        <v>60</v>
      </c>
      <c r="O65" s="4" t="s">
        <v>26</v>
      </c>
      <c r="P65" s="4" t="s">
        <v>596</v>
      </c>
      <c r="Q65" s="4"/>
      <c r="R65" s="4"/>
      <c r="S65" s="4"/>
      <c r="T65" s="48">
        <v>30</v>
      </c>
      <c r="U65" s="4">
        <v>48</v>
      </c>
      <c r="V65" s="4">
        <f>T65*S65</f>
        <v>0</v>
      </c>
      <c r="W65" s="4">
        <f>U65*S65</f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45">
        <v>0.52083333333333337</v>
      </c>
      <c r="I66" s="43">
        <v>0.59027777777777779</v>
      </c>
      <c r="J66" s="4">
        <v>100</v>
      </c>
      <c r="K66" s="43"/>
      <c r="L66" s="45">
        <v>0.52083333333333337</v>
      </c>
      <c r="M66" s="43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8">
        <v>40</v>
      </c>
      <c r="U66" s="4">
        <v>48</v>
      </c>
      <c r="V66" s="4">
        <f>T66*S66</f>
        <v>0</v>
      </c>
      <c r="W66" s="4">
        <f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45">
        <v>0.4375</v>
      </c>
      <c r="I67" s="43">
        <v>0.46527777777777779</v>
      </c>
      <c r="J67" s="4">
        <v>40</v>
      </c>
      <c r="K67" s="43"/>
      <c r="L67" s="45">
        <v>0.4375</v>
      </c>
      <c r="M67" s="43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8">
        <v>40</v>
      </c>
      <c r="U67" s="4">
        <v>48</v>
      </c>
      <c r="V67" s="4">
        <f>T67*S67</f>
        <v>0</v>
      </c>
      <c r="W67" s="4">
        <f>U67*S67</f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45">
        <v>0.625</v>
      </c>
      <c r="I68" s="43">
        <v>0.64583333333333337</v>
      </c>
      <c r="J68" s="4">
        <v>30</v>
      </c>
      <c r="K68" s="43"/>
      <c r="L68" s="45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8">
        <v>40</v>
      </c>
      <c r="U68" s="4">
        <v>48</v>
      </c>
      <c r="V68" s="4">
        <f>T68*S68</f>
        <v>0</v>
      </c>
      <c r="W68" s="4">
        <f>U68*S68</f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43">
        <v>0.75</v>
      </c>
      <c r="J69" s="4">
        <v>90</v>
      </c>
      <c r="K69" s="43"/>
      <c r="L69" s="45">
        <v>0.6875</v>
      </c>
      <c r="M69" s="43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8">
        <v>40</v>
      </c>
      <c r="U69" s="4">
        <v>48</v>
      </c>
      <c r="V69" s="4">
        <f>T69*S69</f>
        <v>0</v>
      </c>
      <c r="W69" s="4">
        <f>U69*S69</f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45">
        <v>0.50694444444444442</v>
      </c>
      <c r="I70" s="43">
        <v>0.61111111111111105</v>
      </c>
      <c r="J70" s="4">
        <v>150</v>
      </c>
      <c r="K70" s="43"/>
      <c r="L70" s="45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8">
        <v>25</v>
      </c>
      <c r="U70" s="4">
        <v>48</v>
      </c>
      <c r="V70" s="4">
        <f>T70*S70</f>
        <v>0</v>
      </c>
      <c r="W70" s="4">
        <f>U70*S70</f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8">
        <v>25</v>
      </c>
      <c r="U71" s="4">
        <v>48</v>
      </c>
      <c r="V71" s="4">
        <f>T71*S71</f>
        <v>0</v>
      </c>
      <c r="W71" s="4">
        <f>U71*S71</f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43">
        <v>0.64583333333333337</v>
      </c>
      <c r="J72" s="4">
        <v>40</v>
      </c>
      <c r="K72" s="43"/>
      <c r="L72" s="45">
        <v>0.61805555555555558</v>
      </c>
      <c r="M72" s="43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8">
        <v>25</v>
      </c>
      <c r="U72" s="4">
        <v>48</v>
      </c>
      <c r="V72" s="4">
        <f>T72*S72</f>
        <v>0</v>
      </c>
      <c r="W72" s="4">
        <f>U72*S72</f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45">
        <v>0.41666666666666669</v>
      </c>
      <c r="I73" s="43">
        <v>0.45833333333333337</v>
      </c>
      <c r="J73" s="4">
        <v>60</v>
      </c>
      <c r="K73" s="43"/>
      <c r="L73" s="45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8">
        <v>25</v>
      </c>
      <c r="U73" s="4">
        <v>48</v>
      </c>
      <c r="V73" s="4">
        <f>T73*S73</f>
        <v>0</v>
      </c>
      <c r="W73" s="4">
        <f>U73*S73</f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43">
        <v>0.5</v>
      </c>
      <c r="J74" s="4">
        <v>60</v>
      </c>
      <c r="K74" s="43"/>
      <c r="L74" s="45">
        <v>0.45833333333333331</v>
      </c>
      <c r="M74" s="43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8">
        <v>25</v>
      </c>
      <c r="U74" s="4">
        <v>48</v>
      </c>
      <c r="V74" s="4">
        <f>T74*S74</f>
        <v>0</v>
      </c>
      <c r="W74" s="4">
        <f>U74*S74</f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43">
        <v>0.41666666666666669</v>
      </c>
      <c r="I75" s="43">
        <v>0.45833333333333331</v>
      </c>
      <c r="J75" s="4">
        <v>60</v>
      </c>
      <c r="K75" s="43"/>
      <c r="L75" s="43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8">
        <v>25</v>
      </c>
      <c r="U75" s="4">
        <v>48</v>
      </c>
      <c r="V75" s="4">
        <f>T75*S75</f>
        <v>0</v>
      </c>
      <c r="W75" s="4">
        <f>U75*S75</f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43">
        <v>0.47916666666666669</v>
      </c>
      <c r="J76" s="4">
        <v>30</v>
      </c>
      <c r="K76" s="43"/>
      <c r="L76" s="43">
        <v>0.45833333333333331</v>
      </c>
      <c r="M76" s="43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8">
        <v>25</v>
      </c>
      <c r="U76" s="4">
        <v>48</v>
      </c>
      <c r="V76" s="4">
        <f>T76*S76</f>
        <v>0</v>
      </c>
      <c r="W76" s="4">
        <f>U76*S76</f>
        <v>0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43">
        <v>0.5</v>
      </c>
      <c r="I77" s="43">
        <v>0.54166666666666663</v>
      </c>
      <c r="J77" s="4">
        <v>60</v>
      </c>
      <c r="K77" s="43"/>
      <c r="L77" s="43">
        <v>0.5</v>
      </c>
      <c r="M77" s="43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4"/>
      <c r="T77" s="48">
        <v>25</v>
      </c>
      <c r="U77" s="4">
        <v>48</v>
      </c>
      <c r="V77" s="4">
        <f>T77*S77</f>
        <v>0</v>
      </c>
      <c r="W77" s="4">
        <f>U77*S77</f>
        <v>0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45">
        <v>0.5625</v>
      </c>
      <c r="I78" s="43">
        <v>0.57291666666666663</v>
      </c>
      <c r="J78" s="4">
        <v>15</v>
      </c>
      <c r="K78" s="43"/>
      <c r="L78" s="45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4"/>
      <c r="T78" s="48">
        <v>25</v>
      </c>
      <c r="U78" s="4">
        <v>48</v>
      </c>
      <c r="V78" s="4">
        <f>T78*S78</f>
        <v>0</v>
      </c>
      <c r="W78" s="4">
        <f>U78*S78</f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4"/>
      <c r="T79" s="48">
        <v>25</v>
      </c>
      <c r="U79" s="4">
        <v>48</v>
      </c>
      <c r="V79" s="4">
        <f>T79*S79</f>
        <v>0</v>
      </c>
      <c r="W79" s="4">
        <f>U79*S79</f>
        <v>0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43">
        <v>0.625</v>
      </c>
      <c r="J80" s="4">
        <v>40</v>
      </c>
      <c r="K80" s="43"/>
      <c r="L80" s="43">
        <v>0.59722222222222221</v>
      </c>
      <c r="M80" s="43">
        <v>0.625</v>
      </c>
      <c r="N80" s="4">
        <v>40</v>
      </c>
      <c r="O80" s="6" t="s">
        <v>74</v>
      </c>
      <c r="P80" s="4" t="s">
        <v>91</v>
      </c>
      <c r="Q80" s="4"/>
      <c r="R80" s="4"/>
      <c r="S80" s="4"/>
      <c r="T80" s="48">
        <v>25</v>
      </c>
      <c r="U80" s="4">
        <v>48</v>
      </c>
      <c r="V80" s="4">
        <f>T80*S80</f>
        <v>0</v>
      </c>
      <c r="W80" s="4">
        <f>U80*S80</f>
        <v>0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45">
        <v>0.5625</v>
      </c>
      <c r="I81" s="43">
        <v>0.57291666666666663</v>
      </c>
      <c r="J81" s="4">
        <v>15</v>
      </c>
      <c r="K81" s="43"/>
      <c r="L81" s="45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8">
        <v>25</v>
      </c>
      <c r="U81" s="4">
        <v>48</v>
      </c>
      <c r="V81" s="4">
        <f>T81*S81</f>
        <v>0</v>
      </c>
      <c r="W81" s="4">
        <f>U81*S81</f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43">
        <v>0.625</v>
      </c>
      <c r="J82" s="4">
        <v>60</v>
      </c>
      <c r="K82" s="43"/>
      <c r="L82" s="45">
        <v>0.58333333333333337</v>
      </c>
      <c r="M82" s="43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8">
        <v>25</v>
      </c>
      <c r="U82" s="4">
        <v>48</v>
      </c>
      <c r="V82" s="4">
        <f>T82*S82</f>
        <v>0</v>
      </c>
      <c r="W82" s="4">
        <f>U82*S82</f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45">
        <v>0.5625</v>
      </c>
      <c r="I83" s="43">
        <v>0.58333333333333337</v>
      </c>
      <c r="J83" s="4">
        <v>30</v>
      </c>
      <c r="K83" s="43"/>
      <c r="L83" s="45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8">
        <v>25</v>
      </c>
      <c r="U83" s="4">
        <v>48</v>
      </c>
      <c r="V83" s="4">
        <f>T83*S83</f>
        <v>0</v>
      </c>
      <c r="W83" s="4">
        <f>U83*S83</f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43">
        <v>0.61458333333333337</v>
      </c>
      <c r="J84" s="4">
        <v>45</v>
      </c>
      <c r="K84" s="43"/>
      <c r="L84" s="45">
        <v>0.58333333333333337</v>
      </c>
      <c r="M84" s="43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8">
        <v>25</v>
      </c>
      <c r="U84" s="4">
        <v>48</v>
      </c>
      <c r="V84" s="4">
        <f>T84*S84</f>
        <v>0</v>
      </c>
      <c r="W84" s="4">
        <f>U84*S84</f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45">
        <v>0.52777777777777779</v>
      </c>
      <c r="I85" s="43">
        <v>0.63194444444444442</v>
      </c>
      <c r="J85" s="4">
        <v>150</v>
      </c>
      <c r="K85" s="43"/>
      <c r="L85" s="45">
        <v>0.52777777777777779</v>
      </c>
      <c r="M85" s="43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8">
        <v>25</v>
      </c>
      <c r="U85" s="4">
        <v>48</v>
      </c>
      <c r="V85" s="4">
        <f>T85*S85</f>
        <v>0</v>
      </c>
      <c r="W85" s="4">
        <f>U85*S85</f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43">
        <v>0.41666666666666669</v>
      </c>
      <c r="I86" s="43">
        <v>0.45833333333333337</v>
      </c>
      <c r="J86" s="4">
        <v>60</v>
      </c>
      <c r="K86" s="43"/>
      <c r="L86" s="43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4"/>
      <c r="T86" s="48">
        <v>28</v>
      </c>
      <c r="U86" s="4">
        <v>48</v>
      </c>
      <c r="V86" s="4">
        <f>T86*S86</f>
        <v>0</v>
      </c>
      <c r="W86" s="4">
        <f>U86*S86</f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4"/>
      <c r="T87" s="48">
        <v>28</v>
      </c>
      <c r="U87" s="4">
        <v>48</v>
      </c>
      <c r="V87" s="4">
        <f>T87*S87</f>
        <v>0</v>
      </c>
      <c r="W87" s="4">
        <f>U87*S87</f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4"/>
      <c r="R88" s="4"/>
      <c r="S88" s="4"/>
      <c r="T88" s="48">
        <v>28</v>
      </c>
      <c r="U88" s="4">
        <v>48</v>
      </c>
      <c r="V88" s="4">
        <f>T88*S88</f>
        <v>0</v>
      </c>
      <c r="W88" s="4">
        <f>U88*S88</f>
        <v>0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4"/>
      <c r="R89" s="4"/>
      <c r="S89" s="4"/>
      <c r="T89" s="48">
        <v>28</v>
      </c>
      <c r="U89" s="4">
        <v>48</v>
      </c>
      <c r="V89" s="4">
        <f>T89*S89</f>
        <v>0</v>
      </c>
      <c r="W89" s="4">
        <f>U89*S89</f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4"/>
      <c r="T90" s="48">
        <v>28</v>
      </c>
      <c r="U90" s="4">
        <v>48</v>
      </c>
      <c r="V90" s="4">
        <f>T90*S90</f>
        <v>0</v>
      </c>
      <c r="W90" s="4">
        <f>U90*S90</f>
        <v>0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4"/>
      <c r="T91" s="48">
        <v>28</v>
      </c>
      <c r="U91" s="4">
        <v>48</v>
      </c>
      <c r="V91" s="4">
        <f>T91*S91</f>
        <v>0</v>
      </c>
      <c r="W91" s="4">
        <f>U91*S91</f>
        <v>0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9"/>
      <c r="R92" s="9"/>
      <c r="S92" s="9"/>
      <c r="T92" s="49">
        <v>28</v>
      </c>
      <c r="U92" s="9">
        <v>48</v>
      </c>
      <c r="V92" s="4">
        <f>T92*S92</f>
        <v>0</v>
      </c>
      <c r="W92" s="4">
        <f>U92*S92</f>
        <v>0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46">
        <v>0.70833333333333337</v>
      </c>
      <c r="J93" s="9">
        <v>60</v>
      </c>
      <c r="K93" s="44"/>
      <c r="L93" s="46">
        <v>0.66666666666666663</v>
      </c>
      <c r="M93" s="4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9"/>
      <c r="T93" s="49">
        <v>28</v>
      </c>
      <c r="U93" s="9">
        <v>48</v>
      </c>
      <c r="V93" s="4">
        <f>T93*S93</f>
        <v>0</v>
      </c>
      <c r="W93" s="4">
        <f>U93*S93</f>
        <v>0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43">
        <v>0.36458333333333331</v>
      </c>
      <c r="I94" s="43">
        <v>0.375</v>
      </c>
      <c r="J94" s="4">
        <v>15</v>
      </c>
      <c r="K94" s="43"/>
      <c r="L94" s="43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4"/>
      <c r="T94" s="48">
        <v>28</v>
      </c>
      <c r="U94" s="4">
        <v>48</v>
      </c>
      <c r="V94" s="4">
        <f>T94*S94</f>
        <v>0</v>
      </c>
      <c r="W94" s="4">
        <f>U94*S94</f>
        <v>0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43">
        <v>0.41666666666666669</v>
      </c>
      <c r="J95" s="4">
        <v>60</v>
      </c>
      <c r="K95" s="43"/>
      <c r="L95" s="43">
        <v>0.375</v>
      </c>
      <c r="M95" s="43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4"/>
      <c r="T95" s="48">
        <v>28</v>
      </c>
      <c r="U95" s="4">
        <v>48</v>
      </c>
      <c r="V95" s="4">
        <f>T95*S95</f>
        <v>0</v>
      </c>
      <c r="W95" s="4">
        <f>U95*S95</f>
        <v>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45">
        <v>0.38541666666666669</v>
      </c>
      <c r="I96" s="43">
        <v>0.41666666666666669</v>
      </c>
      <c r="J96" s="4">
        <v>45</v>
      </c>
      <c r="K96" s="43"/>
      <c r="L96" s="45">
        <v>0.38541666666666669</v>
      </c>
      <c r="M96" s="43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4"/>
      <c r="T96" s="48">
        <v>28</v>
      </c>
      <c r="U96" s="4">
        <v>48</v>
      </c>
      <c r="V96" s="4">
        <f>T96*S96</f>
        <v>0</v>
      </c>
      <c r="W96" s="4">
        <f>U96*S96</f>
        <v>0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46">
        <v>0.48958333333333331</v>
      </c>
      <c r="I97" s="46">
        <v>0.52083333333333337</v>
      </c>
      <c r="J97" s="9">
        <v>45</v>
      </c>
      <c r="K97" s="44"/>
      <c r="L97" s="46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9"/>
      <c r="T97" s="49">
        <v>28</v>
      </c>
      <c r="U97" s="9">
        <v>48</v>
      </c>
      <c r="V97" s="4">
        <f>T97*S97</f>
        <v>0</v>
      </c>
      <c r="W97" s="4">
        <f>U97*S97</f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9"/>
      <c r="R98" s="9"/>
      <c r="S98" s="9"/>
      <c r="T98" s="49">
        <v>28</v>
      </c>
      <c r="U98" s="9">
        <v>48</v>
      </c>
      <c r="V98" s="4">
        <f>T98*S98</f>
        <v>0</v>
      </c>
      <c r="W98" s="4">
        <f>U98*S98</f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9"/>
      <c r="T99" s="49">
        <v>28</v>
      </c>
      <c r="U99" s="9">
        <v>48</v>
      </c>
      <c r="V99" s="4">
        <f>T99*S99</f>
        <v>0</v>
      </c>
      <c r="W99" s="4">
        <f>U99*S99</f>
        <v>0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4"/>
      <c r="T100" s="48">
        <v>28</v>
      </c>
      <c r="U100" s="4">
        <v>48</v>
      </c>
      <c r="V100" s="4">
        <f>T100*S100</f>
        <v>0</v>
      </c>
      <c r="W100" s="4">
        <f>U100*S100</f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43">
        <v>0.65625</v>
      </c>
      <c r="J101" s="4">
        <v>45</v>
      </c>
      <c r="K101" s="43"/>
      <c r="L101" s="43">
        <v>0.625</v>
      </c>
      <c r="M101" s="43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8">
        <v>28</v>
      </c>
      <c r="U101" s="4">
        <v>48</v>
      </c>
      <c r="V101" s="4">
        <f>T101*S101</f>
        <v>0</v>
      </c>
      <c r="W101" s="4">
        <f>U101*S101</f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43">
        <v>0.58680555555555558</v>
      </c>
      <c r="I102" s="43">
        <v>0.60763888888888884</v>
      </c>
      <c r="J102" s="4">
        <v>30</v>
      </c>
      <c r="K102" s="43"/>
      <c r="L102" s="43">
        <v>0.58680555555555558</v>
      </c>
      <c r="M102" s="43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4"/>
      <c r="T102" s="48">
        <v>28</v>
      </c>
      <c r="U102" s="4">
        <v>48</v>
      </c>
      <c r="V102" s="4">
        <f>T102*S102</f>
        <v>0</v>
      </c>
      <c r="W102" s="4">
        <f>U102*S102</f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43">
        <v>0.35416666666666669</v>
      </c>
      <c r="I103" s="43">
        <v>0.375</v>
      </c>
      <c r="J103" s="4">
        <v>30</v>
      </c>
      <c r="K103" s="43"/>
      <c r="L103" s="43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4"/>
      <c r="T103" s="48">
        <v>28</v>
      </c>
      <c r="U103" s="4">
        <v>48</v>
      </c>
      <c r="V103" s="4">
        <f>T103*S103</f>
        <v>0</v>
      </c>
      <c r="W103" s="4">
        <f>U103*S103</f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43">
        <v>0.39583333333333331</v>
      </c>
      <c r="J104" s="4">
        <v>15</v>
      </c>
      <c r="K104" s="43"/>
      <c r="L104" s="43">
        <v>0.38541666666666669</v>
      </c>
      <c r="M104" s="43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4"/>
      <c r="T104" s="48">
        <v>28</v>
      </c>
      <c r="U104" s="4">
        <v>48</v>
      </c>
      <c r="V104" s="4">
        <f>T104*S104</f>
        <v>0</v>
      </c>
      <c r="W104" s="4">
        <f>U104*S104</f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43">
        <v>0.54166666666666663</v>
      </c>
      <c r="I105" s="43">
        <v>0.58333333333333337</v>
      </c>
      <c r="J105" s="4">
        <v>60</v>
      </c>
      <c r="K105" s="43"/>
      <c r="L105" s="43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4"/>
      <c r="T105" s="48">
        <v>28</v>
      </c>
      <c r="U105" s="4">
        <v>48</v>
      </c>
      <c r="V105" s="4">
        <f>T105*S105</f>
        <v>0</v>
      </c>
      <c r="W105" s="4">
        <f>U105*S105</f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43">
        <v>0.59375</v>
      </c>
      <c r="J106" s="4">
        <v>15</v>
      </c>
      <c r="K106" s="43"/>
      <c r="L106" s="43">
        <v>0.58333333333333337</v>
      </c>
      <c r="M106" s="43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4"/>
      <c r="T106" s="48">
        <v>28</v>
      </c>
      <c r="U106" s="4">
        <v>48</v>
      </c>
      <c r="V106" s="4">
        <f>T106*S106</f>
        <v>0</v>
      </c>
      <c r="W106" s="4">
        <f>U106*S106</f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45">
        <v>0.66666666666666663</v>
      </c>
      <c r="I107" s="43">
        <v>0.71527777777777779</v>
      </c>
      <c r="J107" s="4">
        <v>70</v>
      </c>
      <c r="K107" s="43"/>
      <c r="L107" s="45">
        <v>0.66666666666666663</v>
      </c>
      <c r="M107" s="43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8">
        <v>30</v>
      </c>
      <c r="U107" s="4">
        <v>48</v>
      </c>
      <c r="V107" s="4">
        <f>T107*S107</f>
        <v>0</v>
      </c>
      <c r="W107" s="4">
        <f>U107*S107</f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43">
        <v>0.27083333333333331</v>
      </c>
      <c r="I108" s="43">
        <v>0.39583333333333331</v>
      </c>
      <c r="J108" s="4">
        <v>240</v>
      </c>
      <c r="K108" s="43"/>
      <c r="L108" s="43">
        <v>0.27083333333333331</v>
      </c>
      <c r="M108" s="43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8">
        <v>30</v>
      </c>
      <c r="U108" s="4">
        <v>48</v>
      </c>
      <c r="V108" s="4">
        <f>T108*S108</f>
        <v>0</v>
      </c>
      <c r="W108" s="4">
        <f>U108*S108</f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43">
        <v>0.52083333333333337</v>
      </c>
      <c r="I109" s="43">
        <v>0.54166666666666663</v>
      </c>
      <c r="J109" s="4">
        <v>30</v>
      </c>
      <c r="K109" s="43"/>
      <c r="L109" s="43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8">
        <v>30</v>
      </c>
      <c r="U109" s="4">
        <v>48</v>
      </c>
      <c r="V109" s="4">
        <f>T109*S109</f>
        <v>0</v>
      </c>
      <c r="W109" s="4">
        <f>U109*S109</f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8">
        <v>30</v>
      </c>
      <c r="U110" s="4">
        <v>48</v>
      </c>
      <c r="V110" s="4">
        <f>T110*S110</f>
        <v>0</v>
      </c>
      <c r="W110" s="4">
        <f>U110*S110</f>
        <v>0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4"/>
      <c r="R111" s="4"/>
      <c r="S111" s="4"/>
      <c r="T111" s="48">
        <v>30</v>
      </c>
      <c r="U111" s="4">
        <v>48</v>
      </c>
      <c r="V111" s="4">
        <f>T111*S111</f>
        <v>0</v>
      </c>
      <c r="W111" s="4">
        <f>U111*S111</f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43">
        <v>0.60416666666666674</v>
      </c>
      <c r="J112" s="4">
        <v>30</v>
      </c>
      <c r="K112" s="43"/>
      <c r="L112" s="43">
        <v>0.58333333333333337</v>
      </c>
      <c r="M112" s="43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4"/>
      <c r="T112" s="48">
        <v>30</v>
      </c>
      <c r="U112" s="4">
        <v>48</v>
      </c>
      <c r="V112" s="4">
        <f>T112*S112</f>
        <v>0</v>
      </c>
      <c r="W112" s="4">
        <f>U112*S112</f>
        <v>0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43">
        <v>0.625</v>
      </c>
      <c r="I113" s="43">
        <v>0.64583333333333337</v>
      </c>
      <c r="J113" s="4">
        <v>30</v>
      </c>
      <c r="K113" s="43"/>
      <c r="L113" s="43">
        <v>0.625</v>
      </c>
      <c r="M113" s="43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8">
        <v>30</v>
      </c>
      <c r="U113" s="4">
        <v>48</v>
      </c>
      <c r="V113" s="4">
        <f>T113*S113</f>
        <v>0</v>
      </c>
      <c r="W113" s="4">
        <f>U113*S113</f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45">
        <v>0.61111111111111105</v>
      </c>
      <c r="I114" s="43">
        <v>0.64583333333333326</v>
      </c>
      <c r="J114" s="4">
        <v>50</v>
      </c>
      <c r="K114" s="43"/>
      <c r="L114" s="45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8">
        <v>33</v>
      </c>
      <c r="U114" s="4">
        <v>48</v>
      </c>
      <c r="V114" s="4">
        <f>T114*S114</f>
        <v>0</v>
      </c>
      <c r="W114" s="4">
        <f>U114*S114</f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43">
        <v>0.6875</v>
      </c>
      <c r="J115" s="4">
        <v>60</v>
      </c>
      <c r="K115" s="43"/>
      <c r="L115" s="45">
        <v>0.64583333333333337</v>
      </c>
      <c r="M115" s="43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8">
        <v>33</v>
      </c>
      <c r="U115" s="4">
        <v>48</v>
      </c>
      <c r="V115" s="4">
        <f>T115*S115</f>
        <v>0</v>
      </c>
      <c r="W115" s="4">
        <f>U115*S115</f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43">
        <v>0.5625</v>
      </c>
      <c r="I116" s="43">
        <v>0.60416666666666663</v>
      </c>
      <c r="J116" s="4">
        <v>60</v>
      </c>
      <c r="K116" s="43"/>
      <c r="L116" s="43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4"/>
      <c r="T116" s="48">
        <v>33</v>
      </c>
      <c r="U116" s="4">
        <v>48</v>
      </c>
      <c r="V116" s="4">
        <f>T116*S116</f>
        <v>0</v>
      </c>
      <c r="W116" s="4">
        <f>U116*S116</f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43">
        <v>0.70833333333333326</v>
      </c>
      <c r="J117" s="4">
        <v>150</v>
      </c>
      <c r="K117" s="43"/>
      <c r="L117" s="43">
        <v>0.60416666666666663</v>
      </c>
      <c r="M117" s="43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4"/>
      <c r="T117" s="48">
        <v>33</v>
      </c>
      <c r="U117" s="4">
        <v>48</v>
      </c>
      <c r="V117" s="4">
        <f>T117*S117</f>
        <v>0</v>
      </c>
      <c r="W117" s="4">
        <f>U117*S117</f>
        <v>0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45">
        <v>0.41666666666666669</v>
      </c>
      <c r="I118" s="43">
        <v>0.44444444444444448</v>
      </c>
      <c r="J118" s="4">
        <v>40</v>
      </c>
      <c r="K118" s="43"/>
      <c r="L118" s="45">
        <v>0.41666666666666669</v>
      </c>
      <c r="M118" s="43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4"/>
      <c r="T118" s="48">
        <v>33</v>
      </c>
      <c r="U118" s="4">
        <v>48</v>
      </c>
      <c r="V118" s="4">
        <f>T118*S118</f>
        <v>0</v>
      </c>
      <c r="W118" s="4">
        <f>U118*S118</f>
        <v>0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45">
        <v>0.43055555555555558</v>
      </c>
      <c r="I119" s="43">
        <v>0.45833333333333337</v>
      </c>
      <c r="J119" s="4">
        <v>40</v>
      </c>
      <c r="K119" s="43"/>
      <c r="L119" s="45">
        <v>0.43055555555555558</v>
      </c>
      <c r="M119" s="43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8">
        <v>33</v>
      </c>
      <c r="U119" s="4">
        <v>48</v>
      </c>
      <c r="V119" s="4">
        <f>T119*S119</f>
        <v>0</v>
      </c>
      <c r="W119" s="4">
        <f>U119*S119</f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45">
        <v>0.66666666666666663</v>
      </c>
      <c r="I120" s="43">
        <v>0.6875</v>
      </c>
      <c r="J120" s="4">
        <v>30</v>
      </c>
      <c r="K120" s="43"/>
      <c r="L120" s="45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8">
        <v>32</v>
      </c>
      <c r="U120" s="4">
        <v>48</v>
      </c>
      <c r="V120" s="4">
        <f>T120*S120</f>
        <v>0</v>
      </c>
      <c r="W120" s="4">
        <f>U120*S120</f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43">
        <v>0.70833333333333337</v>
      </c>
      <c r="J121" s="4">
        <v>30</v>
      </c>
      <c r="K121" s="43"/>
      <c r="L121" s="45">
        <v>0.6875</v>
      </c>
      <c r="M121" s="43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8">
        <v>32</v>
      </c>
      <c r="U121" s="4">
        <v>48</v>
      </c>
      <c r="V121" s="4">
        <f>T121*S121</f>
        <v>0</v>
      </c>
      <c r="W121" s="4">
        <f>U121*S121</f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45">
        <v>0.61458333333333337</v>
      </c>
      <c r="I122" s="43">
        <v>0.65625</v>
      </c>
      <c r="J122" s="4">
        <v>60</v>
      </c>
      <c r="K122" s="43"/>
      <c r="L122" s="45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8">
        <v>40</v>
      </c>
      <c r="U122" s="4">
        <v>48</v>
      </c>
      <c r="V122" s="4">
        <f>T122*S122</f>
        <v>0</v>
      </c>
      <c r="W122" s="4">
        <f>U122*S122</f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43">
        <v>0.67708333333333337</v>
      </c>
      <c r="J123" s="4">
        <v>30</v>
      </c>
      <c r="K123" s="43"/>
      <c r="L123" s="45">
        <v>0.65625</v>
      </c>
      <c r="M123" s="43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8">
        <v>40</v>
      </c>
      <c r="U123" s="4">
        <v>48</v>
      </c>
      <c r="V123" s="4">
        <f>T123*S123</f>
        <v>0</v>
      </c>
      <c r="W123" s="4">
        <f>U123*S123</f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45">
        <v>0.41666666666666669</v>
      </c>
      <c r="I124" s="43">
        <v>0.47916666666666669</v>
      </c>
      <c r="J124" s="4">
        <v>90</v>
      </c>
      <c r="K124" s="43"/>
      <c r="L124" s="45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8">
        <v>37</v>
      </c>
      <c r="U124" s="4">
        <v>48</v>
      </c>
      <c r="V124" s="4">
        <f>T124*S124</f>
        <v>0</v>
      </c>
      <c r="W124" s="4">
        <f>U124*S124</f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8">
        <v>37</v>
      </c>
      <c r="U125" s="4">
        <v>48</v>
      </c>
      <c r="V125" s="4">
        <f>T125*S125</f>
        <v>0</v>
      </c>
      <c r="W125" s="4">
        <f>U125*S125</f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43">
        <v>0.5625</v>
      </c>
      <c r="J126" s="4">
        <v>15</v>
      </c>
      <c r="K126" s="43"/>
      <c r="L126" s="45">
        <v>0.55208333333333337</v>
      </c>
      <c r="M126" s="43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8">
        <v>37</v>
      </c>
      <c r="U126" s="4">
        <v>48</v>
      </c>
      <c r="V126" s="4">
        <f>T126*S126</f>
        <v>0</v>
      </c>
      <c r="W126" s="4">
        <f>U126*S126</f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45">
        <v>0.58333333333333337</v>
      </c>
      <c r="I127" s="43">
        <v>0.625</v>
      </c>
      <c r="J127" s="4">
        <v>60</v>
      </c>
      <c r="K127" s="43"/>
      <c r="L127" s="45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8">
        <v>37</v>
      </c>
      <c r="U127" s="4">
        <v>48</v>
      </c>
      <c r="V127" s="4">
        <f>T127*S127</f>
        <v>0</v>
      </c>
      <c r="W127" s="4">
        <f>U127*S127</f>
        <v>0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43">
        <v>0.65625</v>
      </c>
      <c r="J128" s="4">
        <v>45</v>
      </c>
      <c r="K128" s="43"/>
      <c r="L128" s="45">
        <v>0.625</v>
      </c>
      <c r="M128" s="43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4"/>
      <c r="T128" s="48">
        <v>37</v>
      </c>
      <c r="U128" s="4">
        <v>48</v>
      </c>
      <c r="V128" s="4">
        <f>T128*S128</f>
        <v>0</v>
      </c>
      <c r="W128" s="4">
        <f>U128*S128</f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45">
        <v>0.625</v>
      </c>
      <c r="I129" s="43">
        <v>0.64583333333333337</v>
      </c>
      <c r="J129" s="4">
        <v>30</v>
      </c>
      <c r="K129" s="43"/>
      <c r="L129" s="45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4"/>
      <c r="T129" s="48">
        <v>37</v>
      </c>
      <c r="U129" s="4">
        <v>48</v>
      </c>
      <c r="V129" s="4">
        <f>T129*S129</f>
        <v>0</v>
      </c>
      <c r="W129" s="4">
        <f>U129*S129</f>
        <v>0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43">
        <v>0.66666666666666663</v>
      </c>
      <c r="J130" s="4">
        <v>30</v>
      </c>
      <c r="K130" s="43"/>
      <c r="L130" s="43">
        <v>0.64583333333333337</v>
      </c>
      <c r="M130" s="43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4"/>
      <c r="T130" s="48">
        <v>37</v>
      </c>
      <c r="U130" s="4">
        <v>48</v>
      </c>
      <c r="V130" s="4">
        <f>T130*S130</f>
        <v>0</v>
      </c>
      <c r="W130" s="4">
        <f>U130*S130</f>
        <v>0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45">
        <v>0.54166666666666663</v>
      </c>
      <c r="I131" s="43">
        <v>0.5625</v>
      </c>
      <c r="J131" s="4">
        <v>30</v>
      </c>
      <c r="K131" s="43"/>
      <c r="L131" s="45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4"/>
      <c r="T131" s="48">
        <v>35</v>
      </c>
      <c r="U131" s="4">
        <v>48</v>
      </c>
      <c r="V131" s="4">
        <f>T131*S131</f>
        <v>0</v>
      </c>
      <c r="W131" s="4">
        <f>U131*S131</f>
        <v>0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8">
        <v>35</v>
      </c>
      <c r="U132" s="4">
        <v>48</v>
      </c>
      <c r="V132" s="4">
        <f>T132*S132</f>
        <v>0</v>
      </c>
      <c r="W132" s="4">
        <f>U132*S132</f>
        <v>0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4"/>
      <c r="R133" s="4"/>
      <c r="S133" s="4"/>
      <c r="T133" s="48">
        <v>35</v>
      </c>
      <c r="U133" s="4">
        <v>48</v>
      </c>
      <c r="V133" s="4">
        <f>T133*S133</f>
        <v>0</v>
      </c>
      <c r="W133" s="4">
        <f>U133*S133</f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4"/>
      <c r="T134" s="48">
        <v>35</v>
      </c>
      <c r="U134" s="4">
        <v>48</v>
      </c>
      <c r="V134" s="4">
        <f>T134*S134</f>
        <v>0</v>
      </c>
      <c r="W134" s="4">
        <f>U134*S134</f>
        <v>0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4"/>
      <c r="R135" s="4"/>
      <c r="S135" s="4"/>
      <c r="T135" s="48">
        <v>35</v>
      </c>
      <c r="U135" s="4">
        <v>48</v>
      </c>
      <c r="V135" s="4">
        <f>T135*S135</f>
        <v>0</v>
      </c>
      <c r="W135" s="4">
        <f>U135*S135</f>
        <v>0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4"/>
      <c r="R136" s="4"/>
      <c r="S136" s="4"/>
      <c r="T136" s="48">
        <v>35</v>
      </c>
      <c r="U136" s="4">
        <v>48</v>
      </c>
      <c r="V136" s="4">
        <f>T136*S136</f>
        <v>0</v>
      </c>
      <c r="W136" s="4">
        <f>U136*S136</f>
        <v>0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43">
        <v>0.83333333333333337</v>
      </c>
      <c r="J137" s="4">
        <v>120</v>
      </c>
      <c r="K137" s="43"/>
      <c r="L137" s="45">
        <v>0.75</v>
      </c>
      <c r="M137" s="43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8">
        <v>35</v>
      </c>
      <c r="U137" s="4">
        <v>48</v>
      </c>
      <c r="V137" s="4">
        <f>T137*S137</f>
        <v>0</v>
      </c>
      <c r="W137" s="4">
        <f>U137*S137</f>
        <v>0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45">
        <v>0.4236111111111111</v>
      </c>
      <c r="I138" s="43">
        <v>0.46527777777777779</v>
      </c>
      <c r="J138" s="4">
        <v>60</v>
      </c>
      <c r="K138" s="43"/>
      <c r="L138" s="45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8">
        <v>27</v>
      </c>
      <c r="U138" s="4">
        <v>48</v>
      </c>
      <c r="V138" s="4">
        <f>T138*S138</f>
        <v>0</v>
      </c>
      <c r="W138" s="4">
        <f>U138*S138</f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43">
        <v>0.54166666666666663</v>
      </c>
      <c r="J139" s="4">
        <v>60</v>
      </c>
      <c r="K139" s="43"/>
      <c r="L139" s="45">
        <v>0.5</v>
      </c>
      <c r="M139" s="43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8">
        <v>27</v>
      </c>
      <c r="U139" s="4">
        <v>48</v>
      </c>
      <c r="V139" s="4">
        <f>T139*S139</f>
        <v>0</v>
      </c>
      <c r="W139" s="4">
        <f>U139*S139</f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43">
        <v>0.42708333333333331</v>
      </c>
      <c r="I140" s="43">
        <v>0.4375</v>
      </c>
      <c r="J140" s="4">
        <v>15</v>
      </c>
      <c r="K140" s="43"/>
      <c r="L140" s="43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8">
        <v>27</v>
      </c>
      <c r="U140" s="4">
        <v>48</v>
      </c>
      <c r="V140" s="4">
        <f>T140*S140</f>
        <v>0</v>
      </c>
      <c r="W140" s="4">
        <f>U140*S140</f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8">
        <v>27</v>
      </c>
      <c r="U141" s="4">
        <v>48</v>
      </c>
      <c r="V141" s="4">
        <f>T141*S141</f>
        <v>0</v>
      </c>
      <c r="W141" s="4">
        <f>U141*S141</f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43">
        <v>0.5</v>
      </c>
      <c r="J142" s="4">
        <v>60</v>
      </c>
      <c r="K142" s="43"/>
      <c r="L142" s="43">
        <v>0.45833333333333331</v>
      </c>
      <c r="M142" s="43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8">
        <v>27</v>
      </c>
      <c r="U142" s="4">
        <v>48</v>
      </c>
      <c r="V142" s="4">
        <f>T142*S142</f>
        <v>0</v>
      </c>
      <c r="W142" s="4">
        <f>U142*S142</f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45">
        <v>0.47916666666666669</v>
      </c>
      <c r="I143" s="43">
        <v>0.5</v>
      </c>
      <c r="J143" s="4">
        <v>30</v>
      </c>
      <c r="K143" s="43"/>
      <c r="L143" s="45">
        <v>0.47916666666666669</v>
      </c>
      <c r="M143" s="43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8">
        <v>25</v>
      </c>
      <c r="U143" s="4">
        <v>48</v>
      </c>
      <c r="V143" s="4">
        <f>T143*S143</f>
        <v>0</v>
      </c>
      <c r="W143" s="4">
        <f>U143*S143</f>
        <v>0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45">
        <v>0.4201388888888889</v>
      </c>
      <c r="I144" s="43">
        <v>0.4375</v>
      </c>
      <c r="J144" s="4">
        <v>25</v>
      </c>
      <c r="K144" s="43"/>
      <c r="L144" s="45">
        <v>0.4201388888888889</v>
      </c>
      <c r="M144" s="43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"/>
      <c r="U144" s="4">
        <v>48</v>
      </c>
      <c r="V144" s="4">
        <f>T144*S144</f>
        <v>0</v>
      </c>
      <c r="W144" s="4">
        <f>U144*S144</f>
        <v>0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45">
        <v>0.39583333333333331</v>
      </c>
      <c r="I145" s="43">
        <v>0.41666666666666663</v>
      </c>
      <c r="J145" s="4">
        <v>30</v>
      </c>
      <c r="K145" s="43"/>
      <c r="L145" s="45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4"/>
      <c r="T145" s="48">
        <v>25</v>
      </c>
      <c r="U145" s="4">
        <v>48</v>
      </c>
      <c r="V145" s="4">
        <f>T145*S145</f>
        <v>0</v>
      </c>
      <c r="W145" s="4">
        <f>U145*S145</f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4"/>
      <c r="T146" s="48">
        <v>25</v>
      </c>
      <c r="U146" s="4">
        <v>48</v>
      </c>
      <c r="V146" s="4">
        <f>T146*S146</f>
        <v>0</v>
      </c>
      <c r="W146" s="4">
        <f>U146*S146</f>
        <v>0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43">
        <v>0.58333333333333337</v>
      </c>
      <c r="J147" s="4">
        <v>120</v>
      </c>
      <c r="K147" s="43"/>
      <c r="L147" s="45">
        <v>0.5</v>
      </c>
      <c r="M147" s="43">
        <v>0.58333333333333337</v>
      </c>
      <c r="N147" s="4">
        <v>120</v>
      </c>
      <c r="O147" s="6" t="s">
        <v>26</v>
      </c>
      <c r="P147" s="4" t="s">
        <v>175</v>
      </c>
      <c r="Q147" s="4"/>
      <c r="R147" s="4"/>
      <c r="S147" s="4"/>
      <c r="T147" s="48">
        <v>25</v>
      </c>
      <c r="U147" s="4">
        <v>48</v>
      </c>
      <c r="V147" s="4">
        <f>T147*S147</f>
        <v>0</v>
      </c>
      <c r="W147" s="4">
        <f>U147*S147</f>
        <v>0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45">
        <v>0.54166666666666663</v>
      </c>
      <c r="I148" s="44">
        <v>0.55208333333333337</v>
      </c>
      <c r="J148" s="9">
        <v>15</v>
      </c>
      <c r="K148" s="44"/>
      <c r="L148" s="45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9"/>
      <c r="T148" s="49">
        <v>27</v>
      </c>
      <c r="U148" s="9">
        <v>48</v>
      </c>
      <c r="V148" s="4">
        <f>T148*S148</f>
        <v>0</v>
      </c>
      <c r="W148" s="4">
        <f>U148*S148</f>
        <v>0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44">
        <v>0.60416666666666663</v>
      </c>
      <c r="J149" s="9">
        <v>60</v>
      </c>
      <c r="K149" s="44"/>
      <c r="L149" s="45">
        <v>0.5625</v>
      </c>
      <c r="M149" s="44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9"/>
      <c r="T149" s="49">
        <v>27</v>
      </c>
      <c r="U149" s="9">
        <v>48</v>
      </c>
      <c r="V149" s="4">
        <f>T149*S149</f>
        <v>0</v>
      </c>
      <c r="W149" s="4">
        <f>U149*S149</f>
        <v>0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45">
        <v>0.625</v>
      </c>
      <c r="I150" s="43">
        <v>0.66666666666666663</v>
      </c>
      <c r="J150" s="4">
        <v>60</v>
      </c>
      <c r="K150" s="43"/>
      <c r="L150" s="45">
        <v>0.625</v>
      </c>
      <c r="M150" s="43">
        <v>0.66666666666666663</v>
      </c>
      <c r="N150" s="4">
        <v>60</v>
      </c>
      <c r="O150" s="6" t="s">
        <v>693</v>
      </c>
      <c r="P150" s="4"/>
      <c r="Q150" s="4"/>
      <c r="R150" s="4"/>
      <c r="S150" s="4"/>
      <c r="T150" s="48">
        <v>27</v>
      </c>
      <c r="U150" s="4">
        <v>48</v>
      </c>
      <c r="V150" s="4">
        <f>T150*S150</f>
        <v>0</v>
      </c>
      <c r="W150" s="4">
        <f>U150*S150</f>
        <v>0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43">
        <v>0.58333333333333337</v>
      </c>
      <c r="I151" s="43">
        <v>0.60416666666666674</v>
      </c>
      <c r="J151" s="4">
        <v>30</v>
      </c>
      <c r="K151" s="43"/>
      <c r="L151" s="43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8">
        <v>35</v>
      </c>
      <c r="U151" s="4">
        <v>48</v>
      </c>
      <c r="V151" s="4">
        <f>T151*S151</f>
        <v>0</v>
      </c>
      <c r="W151" s="4">
        <f>U151*S151</f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8">
        <v>35</v>
      </c>
      <c r="U152" s="4">
        <v>48</v>
      </c>
      <c r="V152" s="4">
        <f>T152*S152</f>
        <v>0</v>
      </c>
      <c r="W152" s="4">
        <f>U152*S152</f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43">
        <v>0.64583333333333337</v>
      </c>
      <c r="J153" s="4">
        <v>30</v>
      </c>
      <c r="K153" s="43"/>
      <c r="L153" s="43">
        <v>0.625</v>
      </c>
      <c r="M153" s="43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8">
        <v>35</v>
      </c>
      <c r="U153" s="4">
        <v>48</v>
      </c>
      <c r="V153" s="4">
        <f>T153*S153</f>
        <v>0</v>
      </c>
      <c r="W153" s="4">
        <f>U153*S153</f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45">
        <v>0.45833333333333331</v>
      </c>
      <c r="I154" s="43">
        <v>0.47916666666666663</v>
      </c>
      <c r="J154" s="4">
        <v>30</v>
      </c>
      <c r="K154" s="43"/>
      <c r="L154" s="45">
        <v>0.45833333333333331</v>
      </c>
      <c r="M154" s="43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4"/>
      <c r="T154" s="4"/>
      <c r="U154" s="4">
        <v>48</v>
      </c>
      <c r="V154" s="4">
        <f>T154*S154</f>
        <v>0</v>
      </c>
      <c r="W154" s="4">
        <f>U154*S154</f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45">
        <v>0.375</v>
      </c>
      <c r="I155" s="43">
        <v>0.38541666666666669</v>
      </c>
      <c r="J155" s="4">
        <v>15</v>
      </c>
      <c r="K155" s="43"/>
      <c r="L155" s="45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4"/>
      <c r="T155" s="4"/>
      <c r="U155" s="4">
        <v>48</v>
      </c>
      <c r="V155" s="4">
        <f>T155*S155</f>
        <v>0</v>
      </c>
      <c r="W155" s="4">
        <f>U155*S155</f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4"/>
      <c r="T156" s="4"/>
      <c r="U156" s="4">
        <v>48</v>
      </c>
      <c r="V156" s="4">
        <f>T156*S156</f>
        <v>0</v>
      </c>
      <c r="W156" s="4">
        <f>U156*S156</f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43">
        <v>0.45833333333333331</v>
      </c>
      <c r="J157" s="4">
        <v>90</v>
      </c>
      <c r="K157" s="43"/>
      <c r="L157" s="45">
        <v>0.39583333333333331</v>
      </c>
      <c r="M157" s="43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4"/>
      <c r="T157" s="4"/>
      <c r="U157" s="4">
        <v>48</v>
      </c>
      <c r="V157" s="4">
        <f>T157*S157</f>
        <v>0</v>
      </c>
      <c r="W157" s="4">
        <f>U157*S157</f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46">
        <v>0.45833333333333331</v>
      </c>
      <c r="I158" s="46">
        <v>0.6875</v>
      </c>
      <c r="J158" s="21">
        <v>330</v>
      </c>
      <c r="K158" s="46"/>
      <c r="L158" s="46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51">
        <v>30</v>
      </c>
      <c r="U158" s="21">
        <v>48</v>
      </c>
      <c r="V158" s="4">
        <f>T158*S158</f>
        <v>0</v>
      </c>
      <c r="W158" s="4">
        <f>U158*S158</f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43">
        <v>0.69791666666666663</v>
      </c>
      <c r="J159" s="4">
        <v>15</v>
      </c>
      <c r="K159" s="43"/>
      <c r="L159" s="45">
        <v>0.6875</v>
      </c>
      <c r="M159" s="43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8">
        <v>30</v>
      </c>
      <c r="U159" s="4">
        <v>48</v>
      </c>
      <c r="V159" s="4">
        <f>T159*S159</f>
        <v>0</v>
      </c>
      <c r="W159" s="4">
        <f>U159*S159</f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43">
        <v>0.39583333333333331</v>
      </c>
      <c r="I160" s="43">
        <v>0.40625</v>
      </c>
      <c r="J160" s="4">
        <v>15</v>
      </c>
      <c r="K160" s="43"/>
      <c r="L160" s="43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4"/>
      <c r="T160" s="48">
        <v>25</v>
      </c>
      <c r="U160" s="4">
        <v>48</v>
      </c>
      <c r="V160" s="4">
        <f>T160*S160</f>
        <v>0</v>
      </c>
      <c r="W160" s="4">
        <f>U160*S160</f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4"/>
      <c r="R161" s="4"/>
      <c r="S161" s="4"/>
      <c r="T161" s="48">
        <v>25</v>
      </c>
      <c r="U161" s="4">
        <v>48</v>
      </c>
      <c r="V161" s="4">
        <f>T161*S161</f>
        <v>0</v>
      </c>
      <c r="W161" s="4">
        <f>U161*S161</f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4"/>
      <c r="R162" s="4"/>
      <c r="S162" s="4"/>
      <c r="T162" s="48">
        <v>25</v>
      </c>
      <c r="U162" s="4">
        <v>48</v>
      </c>
      <c r="V162" s="4">
        <f>T162*S162</f>
        <v>0</v>
      </c>
      <c r="W162" s="4">
        <f>U162*S162</f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8">
        <v>25</v>
      </c>
      <c r="U163" s="4">
        <v>48</v>
      </c>
      <c r="V163" s="4">
        <f>T163*S163</f>
        <v>0</v>
      </c>
      <c r="W163" s="4">
        <f>U163*S163</f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43">
        <v>0.60416666666666674</v>
      </c>
      <c r="J164" s="4">
        <v>30</v>
      </c>
      <c r="K164" s="43"/>
      <c r="L164" s="43">
        <v>0.58333333333333337</v>
      </c>
      <c r="M164" s="43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8">
        <v>25</v>
      </c>
      <c r="U164" s="4">
        <v>48</v>
      </c>
      <c r="V164" s="4">
        <f>T164*S164</f>
        <v>0</v>
      </c>
      <c r="W164" s="4">
        <f>U164*S164</f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43">
        <v>0.35416666666666669</v>
      </c>
      <c r="I165" s="43">
        <v>0.45833333333333331</v>
      </c>
      <c r="J165" s="4">
        <v>150</v>
      </c>
      <c r="K165" s="43"/>
      <c r="L165" s="43">
        <v>0.35416666666666669</v>
      </c>
      <c r="M165" s="43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8">
        <v>25</v>
      </c>
      <c r="U165" s="4">
        <v>48</v>
      </c>
      <c r="V165" s="4">
        <f>T165*S165</f>
        <v>0</v>
      </c>
      <c r="W165" s="4">
        <f>U165*S165</f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45">
        <v>0.52777777777777779</v>
      </c>
      <c r="I166" s="43">
        <v>0.63194444444444442</v>
      </c>
      <c r="J166" s="4">
        <v>150</v>
      </c>
      <c r="K166" s="43"/>
      <c r="L166" s="45">
        <v>0.52777777777777779</v>
      </c>
      <c r="M166" s="43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8">
        <v>25</v>
      </c>
      <c r="U166" s="4">
        <v>48</v>
      </c>
      <c r="V166" s="4">
        <f>T166*S166</f>
        <v>0</v>
      </c>
      <c r="W166" s="4">
        <f>U166*S166</f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43">
        <v>0.625</v>
      </c>
      <c r="I167" s="43">
        <v>0.63541666666666663</v>
      </c>
      <c r="J167" s="4">
        <v>15</v>
      </c>
      <c r="K167" s="43"/>
      <c r="L167" s="43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8">
        <v>27</v>
      </c>
      <c r="U167" s="4">
        <v>48</v>
      </c>
      <c r="V167" s="4">
        <f>T167*S167</f>
        <v>0</v>
      </c>
      <c r="W167" s="4">
        <f>U167*S167</f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43">
        <v>0.77083333333333326</v>
      </c>
      <c r="J168" s="4">
        <v>150</v>
      </c>
      <c r="K168" s="43"/>
      <c r="L168" s="43">
        <v>0.66666666666666663</v>
      </c>
      <c r="M168" s="43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8">
        <v>27</v>
      </c>
      <c r="U168" s="4">
        <v>48</v>
      </c>
      <c r="V168" s="4">
        <f>T168*S168</f>
        <v>0</v>
      </c>
      <c r="W168" s="4">
        <f>U168*S168</f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45">
        <v>0.41666666666666669</v>
      </c>
      <c r="I169" s="43">
        <v>0.45833333333333337</v>
      </c>
      <c r="J169" s="4">
        <v>60</v>
      </c>
      <c r="K169" s="43"/>
      <c r="L169" s="45">
        <v>0.41666666666666669</v>
      </c>
      <c r="M169" s="43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8">
        <v>27</v>
      </c>
      <c r="U169" s="4">
        <v>48</v>
      </c>
      <c r="V169" s="4">
        <f>T169*S169</f>
        <v>0</v>
      </c>
      <c r="W169" s="4">
        <f>U169*S169</f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43">
        <v>0.64583333333333337</v>
      </c>
      <c r="I170" s="43">
        <v>0.66666666666666674</v>
      </c>
      <c r="J170" s="4">
        <v>30</v>
      </c>
      <c r="K170" s="43"/>
      <c r="L170" s="43">
        <v>0.64583333333333337</v>
      </c>
      <c r="M170" s="43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8">
        <v>27</v>
      </c>
      <c r="U170" s="4">
        <v>48</v>
      </c>
      <c r="V170" s="4">
        <f>T170*S170</f>
        <v>0</v>
      </c>
      <c r="W170" s="4">
        <f>U170*S170</f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43">
        <v>0.5</v>
      </c>
      <c r="I171" s="43">
        <v>0.6875</v>
      </c>
      <c r="J171" s="4">
        <v>270</v>
      </c>
      <c r="K171" s="43"/>
      <c r="L171" s="43">
        <v>0.5</v>
      </c>
      <c r="M171" s="43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8">
        <v>27</v>
      </c>
      <c r="U171" s="4">
        <v>48</v>
      </c>
      <c r="V171" s="4">
        <f>T171*S171</f>
        <v>0</v>
      </c>
      <c r="W171" s="4">
        <f>U171*S171</f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43">
        <v>0.375</v>
      </c>
      <c r="I172" s="43">
        <v>0.39583333333333331</v>
      </c>
      <c r="J172" s="4">
        <v>30</v>
      </c>
      <c r="K172" s="43"/>
      <c r="L172" s="43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8">
        <v>27</v>
      </c>
      <c r="U172" s="4">
        <v>48</v>
      </c>
      <c r="V172" s="4">
        <f>T172*S172</f>
        <v>0</v>
      </c>
      <c r="W172" s="4">
        <f>U172*S172</f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8">
        <v>27</v>
      </c>
      <c r="U173" s="4">
        <v>48</v>
      </c>
      <c r="V173" s="4">
        <f>T173*S173</f>
        <v>0</v>
      </c>
      <c r="W173" s="4">
        <f>U173*S173</f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43">
        <v>0.5</v>
      </c>
      <c r="J174" s="4">
        <v>90</v>
      </c>
      <c r="K174" s="43"/>
      <c r="L174" s="43">
        <v>0.4375</v>
      </c>
      <c r="M174" s="43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8">
        <v>27</v>
      </c>
      <c r="U174" s="4">
        <v>48</v>
      </c>
      <c r="V174" s="4">
        <f>T174*S174</f>
        <v>0</v>
      </c>
      <c r="W174" s="4">
        <f>U174*S174</f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45">
        <v>0.55208333333333337</v>
      </c>
      <c r="I175" s="43">
        <v>0.5625</v>
      </c>
      <c r="J175" s="4">
        <v>15</v>
      </c>
      <c r="K175" s="43"/>
      <c r="L175" s="45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8">
        <v>27</v>
      </c>
      <c r="U175" s="4">
        <v>48</v>
      </c>
      <c r="V175" s="4">
        <f>T175*S175</f>
        <v>0</v>
      </c>
      <c r="W175" s="4">
        <f>U175*S175</f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43">
        <v>0.61111111111111105</v>
      </c>
      <c r="J176" s="4">
        <v>60</v>
      </c>
      <c r="K176" s="43"/>
      <c r="L176" s="45">
        <v>0.56944444444444442</v>
      </c>
      <c r="M176" s="43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8">
        <v>27</v>
      </c>
      <c r="U176" s="4">
        <v>48</v>
      </c>
      <c r="V176" s="4">
        <f>T176*S176</f>
        <v>0</v>
      </c>
      <c r="W176" s="4">
        <f>U176*S176</f>
        <v>0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45">
        <v>0.6875</v>
      </c>
      <c r="I177" s="43">
        <v>0.70833333333333337</v>
      </c>
      <c r="J177" s="4">
        <v>30</v>
      </c>
      <c r="K177" s="43"/>
      <c r="L177" s="45">
        <v>0.6875</v>
      </c>
      <c r="M177" s="43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4"/>
      <c r="T177" s="48">
        <v>35</v>
      </c>
      <c r="U177" s="4">
        <v>48</v>
      </c>
      <c r="V177" s="4">
        <f>T177*S177</f>
        <v>0</v>
      </c>
      <c r="W177" s="4">
        <f>U177*S177</f>
        <v>0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45">
        <v>0.29166666666666669</v>
      </c>
      <c r="I178" s="43">
        <v>0.30208333333333331</v>
      </c>
      <c r="J178" s="4">
        <v>15</v>
      </c>
      <c r="K178" s="43"/>
      <c r="L178" s="45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4"/>
      <c r="T178" s="48">
        <v>35</v>
      </c>
      <c r="U178" s="4">
        <v>48</v>
      </c>
      <c r="V178" s="4">
        <f>T178*S178</f>
        <v>0</v>
      </c>
      <c r="W178" s="4">
        <f>U178*S178</f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4"/>
      <c r="T179" s="48">
        <v>35</v>
      </c>
      <c r="U179" s="4">
        <v>48</v>
      </c>
      <c r="V179" s="4">
        <f>T179*S179</f>
        <v>0</v>
      </c>
      <c r="W179" s="4">
        <f>U179*S179</f>
        <v>0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43">
        <v>0.45833333333333331</v>
      </c>
      <c r="J180" s="4">
        <v>120</v>
      </c>
      <c r="K180" s="43"/>
      <c r="L180" s="45">
        <v>0.39583333333333331</v>
      </c>
      <c r="M180" s="43">
        <v>0.45833333333333331</v>
      </c>
      <c r="N180" s="4">
        <v>120</v>
      </c>
      <c r="O180" s="6" t="s">
        <v>115</v>
      </c>
      <c r="P180" s="4"/>
      <c r="Q180" s="4"/>
      <c r="R180" s="4"/>
      <c r="S180" s="4"/>
      <c r="T180" s="48">
        <v>35</v>
      </c>
      <c r="U180" s="4">
        <v>48</v>
      </c>
      <c r="V180" s="4">
        <f>T180*S180</f>
        <v>0</v>
      </c>
      <c r="W180" s="4">
        <f>U180*S180</f>
        <v>0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43">
        <v>0.54166666666666663</v>
      </c>
      <c r="I181" s="43">
        <v>0.5625</v>
      </c>
      <c r="J181" s="4">
        <v>30</v>
      </c>
      <c r="K181" s="43"/>
      <c r="L181" s="43">
        <v>0.54166666666666663</v>
      </c>
      <c r="M181" s="43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4"/>
      <c r="T181" s="48">
        <v>30</v>
      </c>
      <c r="U181" s="4">
        <v>48</v>
      </c>
      <c r="V181" s="4">
        <f>T181*S181</f>
        <v>0</v>
      </c>
      <c r="W181" s="4">
        <f>U181*S181</f>
        <v>0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43">
        <v>0.5</v>
      </c>
      <c r="I182" s="43">
        <v>0.6875</v>
      </c>
      <c r="J182" s="4">
        <v>270</v>
      </c>
      <c r="K182" s="43"/>
      <c r="L182" s="43">
        <v>0.5</v>
      </c>
      <c r="M182" s="43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4"/>
      <c r="T182" s="48">
        <v>30</v>
      </c>
      <c r="U182" s="4">
        <v>48</v>
      </c>
      <c r="V182" s="4">
        <f>T182*S182</f>
        <v>0</v>
      </c>
      <c r="W182" s="4">
        <f>U182*S182</f>
        <v>0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43">
        <v>0.46875</v>
      </c>
      <c r="I183" s="43">
        <v>0.5</v>
      </c>
      <c r="J183" s="4">
        <v>45</v>
      </c>
      <c r="K183" s="43"/>
      <c r="L183" s="43">
        <v>0.46875</v>
      </c>
      <c r="M183" s="43">
        <v>0.5</v>
      </c>
      <c r="N183" s="4">
        <v>45</v>
      </c>
      <c r="O183" s="6" t="s">
        <v>290</v>
      </c>
      <c r="P183" s="4"/>
      <c r="Q183" s="4"/>
      <c r="R183" s="4"/>
      <c r="S183" s="4"/>
      <c r="T183" s="48">
        <v>30</v>
      </c>
      <c r="U183" s="4">
        <v>48</v>
      </c>
      <c r="V183" s="4">
        <f>T183*S183</f>
        <v>0</v>
      </c>
      <c r="W183" s="4">
        <f>U183*S183</f>
        <v>0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45">
        <v>0.3125</v>
      </c>
      <c r="I184" s="43">
        <v>0.41666666666666669</v>
      </c>
      <c r="J184" s="4">
        <v>150</v>
      </c>
      <c r="K184" s="43"/>
      <c r="L184" s="45">
        <v>0.3125</v>
      </c>
      <c r="M184" s="43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4"/>
      <c r="T184" s="48">
        <v>30</v>
      </c>
      <c r="U184" s="4">
        <v>48</v>
      </c>
      <c r="V184" s="4">
        <f>T184*S184</f>
        <v>0</v>
      </c>
      <c r="W184" s="4">
        <f>U184*S184</f>
        <v>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43">
        <v>0.45833333333333331</v>
      </c>
      <c r="I185" s="43">
        <v>0.48958333333333331</v>
      </c>
      <c r="J185" s="4">
        <v>45</v>
      </c>
      <c r="K185" s="43"/>
      <c r="L185" s="43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4"/>
      <c r="T185" s="48">
        <v>30</v>
      </c>
      <c r="U185" s="4">
        <v>48</v>
      </c>
      <c r="V185" s="4">
        <f>T185*S185</f>
        <v>0</v>
      </c>
      <c r="W185" s="4">
        <f>U185*S185</f>
        <v>0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43">
        <v>0.58333333333333326</v>
      </c>
      <c r="J186" s="4">
        <v>60</v>
      </c>
      <c r="K186" s="43"/>
      <c r="L186" s="43">
        <v>0.54166666666666663</v>
      </c>
      <c r="M186" s="43">
        <v>0.58333333333333326</v>
      </c>
      <c r="N186" s="4">
        <v>60</v>
      </c>
      <c r="O186" s="4" t="s">
        <v>110</v>
      </c>
      <c r="P186" s="4" t="s">
        <v>221</v>
      </c>
      <c r="Q186" s="4"/>
      <c r="R186" s="4"/>
      <c r="S186" s="4"/>
      <c r="T186" s="48">
        <v>30</v>
      </c>
      <c r="U186" s="4">
        <v>48</v>
      </c>
      <c r="V186" s="4">
        <f>T186*S186</f>
        <v>0</v>
      </c>
      <c r="W186" s="4">
        <f>U186*S186</f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45">
        <v>0.70833333333333337</v>
      </c>
      <c r="I187" s="43">
        <v>0.75</v>
      </c>
      <c r="J187" s="4">
        <v>60</v>
      </c>
      <c r="K187" s="43"/>
      <c r="L187" s="45">
        <v>0.70833333333333337</v>
      </c>
      <c r="M187" s="43">
        <v>0.75</v>
      </c>
      <c r="N187" s="4">
        <v>60</v>
      </c>
      <c r="O187" s="6" t="s">
        <v>26</v>
      </c>
      <c r="P187" s="4"/>
      <c r="Q187" s="4"/>
      <c r="R187" s="4"/>
      <c r="S187" s="4"/>
      <c r="T187" s="48">
        <v>30</v>
      </c>
      <c r="U187" s="4">
        <v>48</v>
      </c>
      <c r="V187" s="4">
        <f>T187*S187</f>
        <v>0</v>
      </c>
      <c r="W187" s="4">
        <f>U187*S187</f>
        <v>0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45">
        <v>0.6875</v>
      </c>
      <c r="I188" s="43">
        <v>0.70833333333333337</v>
      </c>
      <c r="J188" s="4">
        <v>60</v>
      </c>
      <c r="K188" s="43"/>
      <c r="L188" s="45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4"/>
      <c r="T188" s="48">
        <v>30</v>
      </c>
      <c r="U188" s="4">
        <v>48</v>
      </c>
      <c r="V188" s="4">
        <f>T188*S188</f>
        <v>0</v>
      </c>
      <c r="W188" s="4">
        <f>U188*S188</f>
        <v>0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43">
        <v>0.83333333333333337</v>
      </c>
      <c r="J189" s="4">
        <v>90</v>
      </c>
      <c r="K189" s="43"/>
      <c r="L189" s="45">
        <v>0.77083333333333337</v>
      </c>
      <c r="M189" s="43">
        <v>0.83333333333333337</v>
      </c>
      <c r="N189" s="4">
        <v>90</v>
      </c>
      <c r="O189" s="6" t="s">
        <v>26</v>
      </c>
      <c r="P189" s="4" t="s">
        <v>711</v>
      </c>
      <c r="Q189" s="4"/>
      <c r="R189" s="4"/>
      <c r="S189" s="4"/>
      <c r="T189" s="48">
        <v>30</v>
      </c>
      <c r="U189" s="4">
        <v>48</v>
      </c>
      <c r="V189" s="4">
        <f>T189*S189</f>
        <v>0</v>
      </c>
      <c r="W189" s="4">
        <f>U189*S189</f>
        <v>0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45">
        <v>0.35416666666666669</v>
      </c>
      <c r="I190" s="43">
        <v>0.375</v>
      </c>
      <c r="J190" s="4">
        <v>30</v>
      </c>
      <c r="K190" s="43"/>
      <c r="L190" s="45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4"/>
      <c r="T190" s="48">
        <v>30</v>
      </c>
      <c r="U190" s="4">
        <v>48</v>
      </c>
      <c r="V190" s="4">
        <f>T190*S190</f>
        <v>0</v>
      </c>
      <c r="W190" s="4">
        <f>U190*S190</f>
        <v>0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43">
        <v>0.4375</v>
      </c>
      <c r="J191" s="4">
        <v>60</v>
      </c>
      <c r="K191" s="43"/>
      <c r="L191" s="45">
        <v>0.39583333333333331</v>
      </c>
      <c r="M191" s="43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4"/>
      <c r="T191" s="48">
        <v>30</v>
      </c>
      <c r="U191" s="4">
        <v>48</v>
      </c>
      <c r="V191" s="4">
        <f>T191*S191</f>
        <v>0</v>
      </c>
      <c r="W191" s="4">
        <f>U191*S191</f>
        <v>0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43">
        <v>0.39583333333333331</v>
      </c>
      <c r="I192" s="43">
        <v>0.40625</v>
      </c>
      <c r="J192" s="4">
        <v>15</v>
      </c>
      <c r="K192" s="43"/>
      <c r="L192" s="43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4"/>
      <c r="T192" s="48">
        <v>30</v>
      </c>
      <c r="U192" s="4">
        <v>48</v>
      </c>
      <c r="V192" s="4">
        <f>T192*S192</f>
        <v>0</v>
      </c>
      <c r="W192" s="4">
        <f>U192*S192</f>
        <v>0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4"/>
      <c r="T193" s="48">
        <v>30</v>
      </c>
      <c r="U193" s="4">
        <v>48</v>
      </c>
      <c r="V193" s="4">
        <f>T193*S193</f>
        <v>0</v>
      </c>
      <c r="W193" s="4">
        <f>U193*S193</f>
        <v>0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43">
        <v>0.4375</v>
      </c>
      <c r="J194" s="4">
        <v>15</v>
      </c>
      <c r="K194" s="43"/>
      <c r="L194" s="45">
        <v>0.42708333333333331</v>
      </c>
      <c r="M194" s="43">
        <v>0.4375</v>
      </c>
      <c r="N194" s="4">
        <v>15</v>
      </c>
      <c r="O194" s="6" t="s">
        <v>46</v>
      </c>
      <c r="P194" s="4" t="s">
        <v>47</v>
      </c>
      <c r="Q194" s="4"/>
      <c r="R194" s="4"/>
      <c r="S194" s="4"/>
      <c r="T194" s="48">
        <v>30</v>
      </c>
      <c r="U194" s="4">
        <v>48</v>
      </c>
      <c r="V194" s="4">
        <f>T194*S194</f>
        <v>0</v>
      </c>
      <c r="W194" s="4">
        <f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43">
        <v>0.5</v>
      </c>
      <c r="I195" s="43">
        <v>0.6875</v>
      </c>
      <c r="J195" s="4">
        <v>270</v>
      </c>
      <c r="K195" s="43"/>
      <c r="L195" s="43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4"/>
      <c r="T195" s="48">
        <v>30</v>
      </c>
      <c r="U195" s="4">
        <v>48</v>
      </c>
      <c r="V195" s="4">
        <f>T195*S195</f>
        <v>0</v>
      </c>
      <c r="W195" s="4">
        <f>U195*S195</f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43">
        <v>0.58333333333333337</v>
      </c>
      <c r="J196" s="4">
        <v>30</v>
      </c>
      <c r="K196" s="43"/>
      <c r="L196" s="43">
        <v>0.5625</v>
      </c>
      <c r="M196" s="43">
        <v>0.58333333333333337</v>
      </c>
      <c r="N196" s="4">
        <v>30</v>
      </c>
      <c r="O196" s="4" t="s">
        <v>110</v>
      </c>
      <c r="P196" s="4" t="s">
        <v>160</v>
      </c>
      <c r="Q196" s="4"/>
      <c r="R196" s="4"/>
      <c r="S196" s="4"/>
      <c r="T196" s="48">
        <v>30</v>
      </c>
      <c r="U196" s="4">
        <v>48</v>
      </c>
      <c r="V196" s="4">
        <f>T196*S196</f>
        <v>0</v>
      </c>
      <c r="W196" s="4">
        <f>U196*S196</f>
        <v>0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43">
        <v>0.4375</v>
      </c>
      <c r="I197" s="43">
        <v>0.45833333333333331</v>
      </c>
      <c r="J197" s="4">
        <v>30</v>
      </c>
      <c r="K197" s="43"/>
      <c r="L197" s="43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4"/>
      <c r="T197" s="48">
        <v>30</v>
      </c>
      <c r="U197" s="4">
        <v>48</v>
      </c>
      <c r="V197" s="4">
        <f>T197*S197</f>
        <v>0</v>
      </c>
      <c r="W197" s="4">
        <f>U197*S197</f>
        <v>0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4"/>
      <c r="T198" s="48">
        <v>30</v>
      </c>
      <c r="U198" s="4">
        <v>48</v>
      </c>
      <c r="V198" s="4">
        <f>T198*S198</f>
        <v>0</v>
      </c>
      <c r="W198" s="4">
        <f>U198*S198</f>
        <v>0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43">
        <v>0.73958333333333337</v>
      </c>
      <c r="J199" s="4">
        <v>15</v>
      </c>
      <c r="K199" s="43"/>
      <c r="L199" s="43">
        <v>0.72916666666666663</v>
      </c>
      <c r="M199" s="43">
        <v>0.73958333333333337</v>
      </c>
      <c r="N199" s="4">
        <v>15</v>
      </c>
      <c r="O199" s="4" t="s">
        <v>26</v>
      </c>
      <c r="P199" s="4"/>
      <c r="Q199" s="4"/>
      <c r="R199" s="4"/>
      <c r="S199" s="4"/>
      <c r="T199" s="48">
        <v>30</v>
      </c>
      <c r="U199" s="4">
        <v>48</v>
      </c>
      <c r="V199" s="4">
        <f>T199*S199</f>
        <v>0</v>
      </c>
      <c r="W199" s="4">
        <f>U199*S199</f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43">
        <v>0.35416666666666669</v>
      </c>
      <c r="I200" s="43">
        <v>0.45833333333333331</v>
      </c>
      <c r="J200" s="4">
        <v>150</v>
      </c>
      <c r="K200" s="43"/>
      <c r="L200" s="43">
        <v>0.35416666666666669</v>
      </c>
      <c r="M200" s="43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"/>
      <c r="U200" s="4">
        <v>48</v>
      </c>
      <c r="V200" s="4">
        <f>T200*S200</f>
        <v>0</v>
      </c>
      <c r="W200" s="4">
        <f>U200*S200</f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45">
        <v>0.5625</v>
      </c>
      <c r="I201" s="43">
        <v>0.58333333333333337</v>
      </c>
      <c r="J201" s="4">
        <v>30</v>
      </c>
      <c r="K201" s="43"/>
      <c r="L201" s="45">
        <v>0.5625</v>
      </c>
      <c r="M201" s="43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8">
        <v>40</v>
      </c>
      <c r="U201" s="4">
        <v>48</v>
      </c>
      <c r="V201" s="4">
        <f>T201*S201</f>
        <v>0</v>
      </c>
      <c r="W201" s="4">
        <f>U201*S201</f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45">
        <v>0.375</v>
      </c>
      <c r="I202" s="43">
        <v>0.41666666666666669</v>
      </c>
      <c r="J202" s="4">
        <v>60</v>
      </c>
      <c r="K202" s="43"/>
      <c r="L202" s="45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8">
        <v>30</v>
      </c>
      <c r="U202" s="4">
        <v>48</v>
      </c>
      <c r="V202" s="4">
        <f>T202*S202</f>
        <v>0</v>
      </c>
      <c r="W202" s="4">
        <f>U202*S202</f>
        <v>0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43">
        <v>0.52083333333333337</v>
      </c>
      <c r="J203" s="4">
        <v>150</v>
      </c>
      <c r="K203" s="43"/>
      <c r="L203" s="45">
        <v>0.41666666666666669</v>
      </c>
      <c r="M203" s="43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4"/>
      <c r="T203" s="48">
        <v>30</v>
      </c>
      <c r="U203" s="4">
        <v>48</v>
      </c>
      <c r="V203" s="4">
        <f>T203*S203</f>
        <v>0</v>
      </c>
      <c r="W203" s="4">
        <f>U203*S203</f>
        <v>0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45">
        <v>0.66666666666666663</v>
      </c>
      <c r="I204" s="43">
        <v>0.6875</v>
      </c>
      <c r="J204" s="4">
        <v>30</v>
      </c>
      <c r="K204" s="43"/>
      <c r="L204" s="45">
        <v>0.66666666666666663</v>
      </c>
      <c r="M204" s="43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4"/>
      <c r="T204" s="48">
        <v>30</v>
      </c>
      <c r="U204" s="4">
        <v>48</v>
      </c>
      <c r="V204" s="4">
        <f>T204*S204</f>
        <v>0</v>
      </c>
      <c r="W204" s="4">
        <f>U204*S204</f>
        <v>0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45">
        <v>0.41666666666666669</v>
      </c>
      <c r="I205" s="43">
        <v>0.42708333333333337</v>
      </c>
      <c r="J205" s="4">
        <v>15</v>
      </c>
      <c r="K205" s="43"/>
      <c r="L205" s="45">
        <v>0.41666666666666669</v>
      </c>
      <c r="M205" s="43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8">
        <v>30</v>
      </c>
      <c r="U205" s="4">
        <v>48</v>
      </c>
      <c r="V205" s="4">
        <f>T205*S205</f>
        <v>0</v>
      </c>
      <c r="W205" s="4">
        <f>U205*S205</f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45">
        <v>0.5625</v>
      </c>
      <c r="I206" s="43">
        <v>0.58333333333333337</v>
      </c>
      <c r="J206" s="4">
        <v>30</v>
      </c>
      <c r="K206" s="43"/>
      <c r="L206" s="45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8">
        <v>32</v>
      </c>
      <c r="U206" s="4">
        <v>48</v>
      </c>
      <c r="V206" s="4">
        <f>T206*S206</f>
        <v>0</v>
      </c>
      <c r="W206" s="4">
        <f>U206*S206</f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43">
        <v>0.8125</v>
      </c>
      <c r="J207" s="4">
        <v>300</v>
      </c>
      <c r="K207" s="43"/>
      <c r="L207" s="45">
        <v>0.60416666666666663</v>
      </c>
      <c r="M207" s="43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8">
        <v>32</v>
      </c>
      <c r="U207" s="4">
        <v>48</v>
      </c>
      <c r="V207" s="4">
        <f>T207*S207</f>
        <v>0</v>
      </c>
      <c r="W207" s="4">
        <f>U207*S207</f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43">
        <v>0.45833333333333331</v>
      </c>
      <c r="I208" s="43">
        <v>0.5</v>
      </c>
      <c r="J208" s="4">
        <v>60</v>
      </c>
      <c r="K208" s="43"/>
      <c r="L208" s="43">
        <v>0.45833333333333331</v>
      </c>
      <c r="M208" s="43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4"/>
      <c r="T208" s="48">
        <v>32</v>
      </c>
      <c r="U208" s="4">
        <v>48</v>
      </c>
      <c r="V208" s="4">
        <f>T208*S208</f>
        <v>0</v>
      </c>
      <c r="W208" s="4">
        <f>U208*S208</f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45">
        <v>0.41666666666666669</v>
      </c>
      <c r="I209" s="43">
        <v>0.45833333333333337</v>
      </c>
      <c r="J209" s="4">
        <v>60</v>
      </c>
      <c r="K209" s="43"/>
      <c r="L209" s="45">
        <v>0.41666666666666669</v>
      </c>
      <c r="M209" s="43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4"/>
      <c r="T209" s="48">
        <v>32</v>
      </c>
      <c r="U209" s="4">
        <v>48</v>
      </c>
      <c r="V209" s="4">
        <f>T209*S209</f>
        <v>0</v>
      </c>
      <c r="W209" s="4">
        <f>U209*S209</f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45">
        <v>0.41666666666666669</v>
      </c>
      <c r="I210" s="43">
        <v>0.4375</v>
      </c>
      <c r="J210" s="4">
        <v>30</v>
      </c>
      <c r="K210" s="43"/>
      <c r="L210" s="45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8">
        <v>38</v>
      </c>
      <c r="U210" s="4">
        <v>48</v>
      </c>
      <c r="V210" s="4">
        <f>T210*S210</f>
        <v>0</v>
      </c>
      <c r="W210" s="4">
        <f>U210*S210</f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43">
        <v>0.58333333333333337</v>
      </c>
      <c r="J211" s="4">
        <v>150</v>
      </c>
      <c r="K211" s="43"/>
      <c r="L211" s="45">
        <v>0.47916666666666669</v>
      </c>
      <c r="M211" s="43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8">
        <v>38</v>
      </c>
      <c r="U211" s="4">
        <v>48</v>
      </c>
      <c r="V211" s="4">
        <f>T211*S211</f>
        <v>0</v>
      </c>
      <c r="W211" s="4">
        <f>U211*S211</f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45">
        <v>0.625</v>
      </c>
      <c r="I212" s="43">
        <v>0.64583333333333337</v>
      </c>
      <c r="J212" s="4">
        <v>30</v>
      </c>
      <c r="K212" s="43"/>
      <c r="L212" s="45">
        <v>0.625</v>
      </c>
      <c r="M212" s="43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8">
        <v>38</v>
      </c>
      <c r="U212" s="4">
        <v>48</v>
      </c>
      <c r="V212" s="4">
        <f>T212*S212</f>
        <v>0</v>
      </c>
      <c r="W212" s="4">
        <f>U212*S212</f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45">
        <v>0.64583333333333337</v>
      </c>
      <c r="I213" s="43">
        <v>0.66666666666666674</v>
      </c>
      <c r="J213" s="4">
        <v>30</v>
      </c>
      <c r="K213" s="43"/>
      <c r="L213" s="45">
        <v>0.64583333333333337</v>
      </c>
      <c r="M213" s="43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8">
        <v>38</v>
      </c>
      <c r="U213" s="4">
        <v>48</v>
      </c>
      <c r="V213" s="4">
        <f>T213*S213</f>
        <v>0</v>
      </c>
      <c r="W213" s="4">
        <f>U213*S213</f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45">
        <v>0.39583333333333331</v>
      </c>
      <c r="I214" s="43">
        <v>0.41666666666666663</v>
      </c>
      <c r="J214" s="4">
        <v>30</v>
      </c>
      <c r="K214" s="43"/>
      <c r="L214" s="45">
        <v>0.39583333333333331</v>
      </c>
      <c r="M214" s="43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8">
        <v>25</v>
      </c>
      <c r="U214" s="4">
        <v>48</v>
      </c>
      <c r="V214" s="4">
        <f>T214*S214</f>
        <v>0</v>
      </c>
      <c r="W214" s="4">
        <f>U214*S214</f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45">
        <v>0.41666666666666669</v>
      </c>
      <c r="I215" s="43">
        <v>0.4375</v>
      </c>
      <c r="J215" s="4">
        <v>30</v>
      </c>
      <c r="K215" s="43"/>
      <c r="L215" s="45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8">
        <v>30</v>
      </c>
      <c r="U215" s="4">
        <v>48</v>
      </c>
      <c r="V215" s="4">
        <f>T215*S215</f>
        <v>0</v>
      </c>
      <c r="W215" s="4">
        <f>U215*S215</f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43">
        <v>0.54166666666666674</v>
      </c>
      <c r="J216" s="4">
        <v>90</v>
      </c>
      <c r="K216" s="43"/>
      <c r="L216" s="45">
        <v>0.47916666666666669</v>
      </c>
      <c r="M216" s="43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8">
        <v>30</v>
      </c>
      <c r="U216" s="4">
        <v>48</v>
      </c>
      <c r="V216" s="4">
        <f>T216*S216</f>
        <v>0</v>
      </c>
      <c r="W216" s="4">
        <f>U216*S216</f>
        <v>0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216"/>
  <sheetViews>
    <sheetView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43">
        <v>0.58333333333333337</v>
      </c>
      <c r="I2" s="43">
        <v>0.61458333333333337</v>
      </c>
      <c r="J2" s="4">
        <v>45</v>
      </c>
      <c r="K2" s="43"/>
      <c r="L2" s="43">
        <v>0.58333333333333337</v>
      </c>
      <c r="M2" s="43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4"/>
      <c r="T2" s="48">
        <v>30</v>
      </c>
      <c r="U2" s="4">
        <v>48</v>
      </c>
      <c r="V2" s="4">
        <f>T2*S2</f>
        <v>0</v>
      </c>
      <c r="W2" s="4">
        <f>U2*S2</f>
        <v>0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44">
        <v>0.5625</v>
      </c>
      <c r="I3" s="44">
        <v>0.57291666666666663</v>
      </c>
      <c r="J3" s="9">
        <v>15</v>
      </c>
      <c r="K3" s="44"/>
      <c r="L3" s="44">
        <v>0.5625</v>
      </c>
      <c r="M3" s="44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9"/>
      <c r="T3" s="49">
        <v>30</v>
      </c>
      <c r="U3" s="9">
        <v>48</v>
      </c>
      <c r="V3" s="4">
        <f>T3*S3</f>
        <v>0</v>
      </c>
      <c r="W3" s="4">
        <f>U3*S3</f>
        <v>0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45">
        <v>0.39583333333333331</v>
      </c>
      <c r="I4" s="43">
        <v>0.41666666666666663</v>
      </c>
      <c r="J4" s="4">
        <v>30</v>
      </c>
      <c r="K4" s="43"/>
      <c r="L4" s="45">
        <v>0.39583333333333331</v>
      </c>
      <c r="M4" s="43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4"/>
      <c r="T4" s="48">
        <v>30</v>
      </c>
      <c r="U4" s="4">
        <v>48</v>
      </c>
      <c r="V4" s="4">
        <f>T4*S4</f>
        <v>0</v>
      </c>
      <c r="W4" s="4">
        <f>U4*S4</f>
        <v>0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43">
        <v>0.5625</v>
      </c>
      <c r="I5" s="43">
        <v>0.72916666666666663</v>
      </c>
      <c r="J5" s="4">
        <v>240</v>
      </c>
      <c r="K5" s="43"/>
      <c r="L5" s="43">
        <v>0.5625</v>
      </c>
      <c r="M5" s="43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4"/>
      <c r="T5" s="48">
        <v>30</v>
      </c>
      <c r="U5" s="4">
        <v>48</v>
      </c>
      <c r="V5" s="4">
        <f>T5*S5</f>
        <v>0</v>
      </c>
      <c r="W5" s="4">
        <f>U5*S5</f>
        <v>0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43">
        <v>0.47916666666666669</v>
      </c>
      <c r="I6" s="43">
        <v>0.49305555555555558</v>
      </c>
      <c r="J6" s="4">
        <v>20</v>
      </c>
      <c r="K6" s="43"/>
      <c r="L6" s="43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4"/>
      <c r="T6" s="48">
        <v>30</v>
      </c>
      <c r="U6" s="4">
        <v>48</v>
      </c>
      <c r="V6" s="4">
        <f>T6*S6</f>
        <v>0</v>
      </c>
      <c r="W6" s="4">
        <f>U6*S6</f>
        <v>0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43">
        <v>0.51388888888888884</v>
      </c>
      <c r="J7" s="4">
        <v>20</v>
      </c>
      <c r="K7" s="43"/>
      <c r="L7" s="45">
        <v>0.5</v>
      </c>
      <c r="M7" s="43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4"/>
      <c r="T7" s="48">
        <v>30</v>
      </c>
      <c r="U7" s="4">
        <v>48</v>
      </c>
      <c r="V7" s="4">
        <f>T7*S7</f>
        <v>0</v>
      </c>
      <c r="W7" s="4">
        <f>U7*S7</f>
        <v>0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45">
        <v>0.45833333333333331</v>
      </c>
      <c r="I8" s="43">
        <v>0.47916666666666663</v>
      </c>
      <c r="J8" s="4">
        <v>30</v>
      </c>
      <c r="K8" s="43"/>
      <c r="L8" s="45">
        <v>0.45833333333333331</v>
      </c>
      <c r="M8" s="43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4"/>
      <c r="T8" s="48">
        <v>30</v>
      </c>
      <c r="U8" s="4">
        <v>48</v>
      </c>
      <c r="V8" s="4">
        <f>T8*S8</f>
        <v>0</v>
      </c>
      <c r="W8" s="4">
        <f>U8*S8</f>
        <v>0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45">
        <v>0.375</v>
      </c>
      <c r="I9" s="43">
        <v>0.41666666666666669</v>
      </c>
      <c r="J9" s="4">
        <v>60</v>
      </c>
      <c r="K9" s="43"/>
      <c r="L9" s="45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4"/>
      <c r="T9" s="48">
        <v>30</v>
      </c>
      <c r="U9" s="4">
        <v>48</v>
      </c>
      <c r="V9" s="4">
        <f>T9*S9</f>
        <v>0</v>
      </c>
      <c r="W9" s="4">
        <f>U9*S9</f>
        <v>0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43">
        <v>0.45833333333333337</v>
      </c>
      <c r="J10" s="4">
        <v>60</v>
      </c>
      <c r="K10" s="43"/>
      <c r="L10" s="43">
        <v>0.41666666666666669</v>
      </c>
      <c r="M10" s="43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4"/>
      <c r="T10" s="48">
        <v>30</v>
      </c>
      <c r="U10" s="4">
        <v>48</v>
      </c>
      <c r="V10" s="4">
        <f>T10*S10</f>
        <v>0</v>
      </c>
      <c r="W10" s="4">
        <f>U10*S10</f>
        <v>0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43">
        <v>0.53125</v>
      </c>
      <c r="I11" s="43">
        <v>0.58333333333333337</v>
      </c>
      <c r="J11" s="4">
        <v>75</v>
      </c>
      <c r="K11" s="43"/>
      <c r="L11" s="43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4"/>
      <c r="T11" s="48">
        <v>30</v>
      </c>
      <c r="U11" s="4">
        <v>48</v>
      </c>
      <c r="V11" s="4">
        <f>T11*S11</f>
        <v>0</v>
      </c>
      <c r="W11" s="4">
        <f>U11*S11</f>
        <v>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43">
        <v>0.625</v>
      </c>
      <c r="J12" s="4">
        <v>60</v>
      </c>
      <c r="K12" s="43"/>
      <c r="L12" s="43">
        <v>0.58333333333333337</v>
      </c>
      <c r="M12" s="43">
        <v>0.625</v>
      </c>
      <c r="N12" s="4">
        <v>60</v>
      </c>
      <c r="O12" s="4" t="s">
        <v>167</v>
      </c>
      <c r="P12" s="4"/>
      <c r="Q12" s="4"/>
      <c r="R12" s="4"/>
      <c r="S12" s="4"/>
      <c r="T12" s="48">
        <v>30</v>
      </c>
      <c r="U12" s="4">
        <v>48</v>
      </c>
      <c r="V12" s="4">
        <f>T12*S12</f>
        <v>0</v>
      </c>
      <c r="W12" s="4">
        <f>U12*S12</f>
        <v>0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45">
        <v>0.40277777777777773</v>
      </c>
      <c r="I13" s="43">
        <v>0.42361111111111105</v>
      </c>
      <c r="J13" s="4">
        <v>30</v>
      </c>
      <c r="K13" s="43"/>
      <c r="L13" s="45">
        <v>0.40277777777777773</v>
      </c>
      <c r="M13" s="43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4"/>
      <c r="T13" s="48">
        <v>30</v>
      </c>
      <c r="U13" s="4">
        <v>48</v>
      </c>
      <c r="V13" s="4">
        <f>T13*S13</f>
        <v>0</v>
      </c>
      <c r="W13" s="4">
        <f>U13*S13</f>
        <v>0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45">
        <v>0.6875</v>
      </c>
      <c r="I14" s="43">
        <v>0.70833333333333337</v>
      </c>
      <c r="J14" s="4">
        <v>30</v>
      </c>
      <c r="K14" s="43"/>
      <c r="L14" s="45">
        <v>0.6875</v>
      </c>
      <c r="M14" s="43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4"/>
      <c r="T14" s="48">
        <v>32</v>
      </c>
      <c r="U14" s="4">
        <v>48</v>
      </c>
      <c r="V14" s="4">
        <f>T14*S14</f>
        <v>0</v>
      </c>
      <c r="W14" s="4">
        <f>U14*S14</f>
        <v>0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45">
        <v>0.63541666666666663</v>
      </c>
      <c r="I15" s="43">
        <v>0.65625</v>
      </c>
      <c r="J15" s="4">
        <v>45</v>
      </c>
      <c r="K15" s="43"/>
      <c r="L15" s="45">
        <v>0.63541666666666663</v>
      </c>
      <c r="M15" s="43">
        <v>0.65625</v>
      </c>
      <c r="N15" s="4">
        <v>45</v>
      </c>
      <c r="O15" s="6" t="s">
        <v>695</v>
      </c>
      <c r="P15" s="4"/>
      <c r="Q15" s="4"/>
      <c r="R15" s="4"/>
      <c r="S15" s="4"/>
      <c r="T15" s="48">
        <v>32</v>
      </c>
      <c r="U15" s="4">
        <v>48</v>
      </c>
      <c r="V15" s="4">
        <f>T15*S15</f>
        <v>0</v>
      </c>
      <c r="W15" s="4">
        <f>U15*S15</f>
        <v>0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45">
        <v>0.33333333333333331</v>
      </c>
      <c r="I16" s="43">
        <v>0.35416666666666663</v>
      </c>
      <c r="J16" s="4">
        <v>30</v>
      </c>
      <c r="K16" s="43"/>
      <c r="L16" s="45">
        <v>0.33333333333333331</v>
      </c>
      <c r="M16" s="43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4"/>
      <c r="T16" s="48">
        <v>32</v>
      </c>
      <c r="U16" s="4">
        <v>48</v>
      </c>
      <c r="V16" s="4">
        <f>T16*S16</f>
        <v>0</v>
      </c>
      <c r="W16" s="4">
        <f>U16*S16</f>
        <v>0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45">
        <v>0.36458333333333331</v>
      </c>
      <c r="I17" s="43">
        <v>0.375</v>
      </c>
      <c r="J17" s="4">
        <v>15</v>
      </c>
      <c r="K17" s="43"/>
      <c r="L17" s="45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4"/>
      <c r="T17" s="48">
        <v>32</v>
      </c>
      <c r="U17" s="4">
        <v>48</v>
      </c>
      <c r="V17" s="4">
        <f>T17*S17</f>
        <v>0</v>
      </c>
      <c r="W17" s="4">
        <f>U17*S17</f>
        <v>0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4"/>
      <c r="T18" s="48">
        <v>32</v>
      </c>
      <c r="U18" s="4">
        <v>48</v>
      </c>
      <c r="V18" s="4">
        <f>T18*S18</f>
        <v>0</v>
      </c>
      <c r="W18" s="4">
        <f>U18*S18</f>
        <v>0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43">
        <v>0.4236111111111111</v>
      </c>
      <c r="J19" s="4">
        <v>40</v>
      </c>
      <c r="K19" s="43"/>
      <c r="L19" s="45">
        <v>0.39583333333333331</v>
      </c>
      <c r="M19" s="43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8">
        <v>32</v>
      </c>
      <c r="U19" s="4">
        <v>48</v>
      </c>
      <c r="V19" s="4">
        <f>T19*S19</f>
        <v>0</v>
      </c>
      <c r="W19" s="4">
        <f>U19*S19</f>
        <v>0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45">
        <v>0.5</v>
      </c>
      <c r="I20" s="43">
        <v>0.51041666666666663</v>
      </c>
      <c r="J20" s="4">
        <v>15</v>
      </c>
      <c r="K20" s="43"/>
      <c r="L20" s="45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4"/>
      <c r="T20" s="48">
        <v>32</v>
      </c>
      <c r="U20" s="4">
        <v>48</v>
      </c>
      <c r="V20" s="4">
        <f>T20*S20</f>
        <v>0</v>
      </c>
      <c r="W20" s="4">
        <f>U20*S20</f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4"/>
      <c r="T21" s="48">
        <v>32</v>
      </c>
      <c r="U21" s="4">
        <v>48</v>
      </c>
      <c r="V21" s="4">
        <f>T21*S21</f>
        <v>0</v>
      </c>
      <c r="W21" s="4">
        <f>U21*S21</f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43">
        <v>0.54861111111111116</v>
      </c>
      <c r="J22" s="4">
        <v>40</v>
      </c>
      <c r="K22" s="43"/>
      <c r="L22" s="43">
        <v>0.52777777777777779</v>
      </c>
      <c r="M22" s="43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4"/>
      <c r="T22" s="48">
        <v>32</v>
      </c>
      <c r="U22" s="4">
        <v>48</v>
      </c>
      <c r="V22" s="4">
        <f>T22*S22</f>
        <v>0</v>
      </c>
      <c r="W22" s="4">
        <f>U22*S22</f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43">
        <v>0.55208333333333337</v>
      </c>
      <c r="I23" s="43">
        <v>0.5625</v>
      </c>
      <c r="J23" s="4">
        <v>15</v>
      </c>
      <c r="K23" s="43"/>
      <c r="L23" s="43">
        <v>0.55208333333333337</v>
      </c>
      <c r="M23" s="43">
        <v>0.5625</v>
      </c>
      <c r="N23" s="4">
        <v>15</v>
      </c>
      <c r="O23" s="4" t="s">
        <v>107</v>
      </c>
      <c r="P23" s="4" t="s">
        <v>523</v>
      </c>
      <c r="Q23" s="4"/>
      <c r="R23" s="4"/>
      <c r="S23" s="4"/>
      <c r="T23" s="48">
        <v>32</v>
      </c>
      <c r="U23" s="4">
        <v>48</v>
      </c>
      <c r="V23" s="4">
        <f>T23*S23</f>
        <v>0</v>
      </c>
      <c r="W23" s="4">
        <f>U23*S23</f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45">
        <v>0.4375</v>
      </c>
      <c r="I24" s="43">
        <v>0.45833333333333331</v>
      </c>
      <c r="J24" s="4">
        <v>30</v>
      </c>
      <c r="K24" s="43"/>
      <c r="L24" s="45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4"/>
      <c r="T24" s="48">
        <v>32</v>
      </c>
      <c r="U24" s="4">
        <v>48</v>
      </c>
      <c r="V24" s="4">
        <f>T24*S24</f>
        <v>0</v>
      </c>
      <c r="W24" s="4">
        <f>U24*S24</f>
        <v>0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43">
        <v>0.5</v>
      </c>
      <c r="J25" s="4">
        <v>45</v>
      </c>
      <c r="K25" s="43"/>
      <c r="L25" s="43">
        <v>0.46875</v>
      </c>
      <c r="M25" s="43">
        <v>0.5</v>
      </c>
      <c r="N25" s="4">
        <v>45</v>
      </c>
      <c r="O25" s="4" t="s">
        <v>82</v>
      </c>
      <c r="P25" s="4" t="s">
        <v>83</v>
      </c>
      <c r="Q25" s="4"/>
      <c r="R25" s="4"/>
      <c r="S25" s="4"/>
      <c r="T25" s="48">
        <v>32</v>
      </c>
      <c r="U25" s="4">
        <v>48</v>
      </c>
      <c r="V25" s="4">
        <f>T25*S25</f>
        <v>0</v>
      </c>
      <c r="W25" s="4">
        <f>U25*S25</f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45">
        <v>0.54166666666666663</v>
      </c>
      <c r="I26" s="43">
        <v>0.57638888888888895</v>
      </c>
      <c r="J26" s="4">
        <v>50</v>
      </c>
      <c r="K26" s="43"/>
      <c r="L26" s="45">
        <v>0.54166666666666663</v>
      </c>
      <c r="M26" s="43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4"/>
      <c r="T26" s="48">
        <v>32</v>
      </c>
      <c r="U26" s="4">
        <v>48</v>
      </c>
      <c r="V26" s="4">
        <f>T26*S26</f>
        <v>0</v>
      </c>
      <c r="W26" s="4">
        <f>U26*S26</f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45">
        <v>0.39583333333333331</v>
      </c>
      <c r="I27" s="43">
        <v>0.41666666666666663</v>
      </c>
      <c r="J27" s="4">
        <v>30</v>
      </c>
      <c r="K27" s="43"/>
      <c r="L27" s="45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4"/>
      <c r="T27" s="48">
        <v>32</v>
      </c>
      <c r="U27" s="4">
        <v>48</v>
      </c>
      <c r="V27" s="4">
        <f>T27*S27</f>
        <v>0</v>
      </c>
      <c r="W27" s="4">
        <f>U27*S27</f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43">
        <v>0.45833333333333337</v>
      </c>
      <c r="J28" s="4">
        <v>60</v>
      </c>
      <c r="K28" s="43"/>
      <c r="L28" s="45">
        <v>0.41666666666666669</v>
      </c>
      <c r="M28" s="43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4"/>
      <c r="T28" s="48">
        <v>32</v>
      </c>
      <c r="U28" s="4">
        <v>48</v>
      </c>
      <c r="V28" s="4">
        <f>T28*S28</f>
        <v>0</v>
      </c>
      <c r="W28" s="4">
        <f>U28*S28</f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43">
        <v>0.47916666666666669</v>
      </c>
      <c r="I29" s="43">
        <v>0.5</v>
      </c>
      <c r="J29" s="4">
        <v>30</v>
      </c>
      <c r="K29" s="43"/>
      <c r="L29" s="43">
        <v>0.47916666666666669</v>
      </c>
      <c r="M29" s="43">
        <v>0.5</v>
      </c>
      <c r="N29" s="4">
        <v>30</v>
      </c>
      <c r="O29" s="4" t="s">
        <v>156</v>
      </c>
      <c r="P29" s="4" t="s">
        <v>269</v>
      </c>
      <c r="Q29" s="4"/>
      <c r="R29" s="4"/>
      <c r="S29" s="4"/>
      <c r="T29" s="48">
        <v>32</v>
      </c>
      <c r="U29" s="4">
        <v>48</v>
      </c>
      <c r="V29" s="4">
        <f>T29*S29</f>
        <v>0</v>
      </c>
      <c r="W29" s="4">
        <f>U29*S29</f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45">
        <v>0.60416666666666663</v>
      </c>
      <c r="I30" s="43">
        <v>0.625</v>
      </c>
      <c r="J30" s="4">
        <v>30</v>
      </c>
      <c r="K30" s="43"/>
      <c r="L30" s="45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8">
        <v>32</v>
      </c>
      <c r="U30" s="4">
        <v>48</v>
      </c>
      <c r="V30" s="4">
        <f>T30*S30</f>
        <v>0</v>
      </c>
      <c r="W30" s="4">
        <f>U30*S30</f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43">
        <v>0.70833333333333337</v>
      </c>
      <c r="J31" s="4">
        <v>90</v>
      </c>
      <c r="K31" s="43"/>
      <c r="L31" s="45">
        <v>0.64583333333333337</v>
      </c>
      <c r="M31" s="43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8">
        <v>32</v>
      </c>
      <c r="U31" s="4">
        <v>48</v>
      </c>
      <c r="V31" s="4">
        <f>T31*S31</f>
        <v>0</v>
      </c>
      <c r="W31" s="4">
        <f>U31*S31</f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45">
        <v>0.64583333333333337</v>
      </c>
      <c r="I32" s="43">
        <v>0.6875</v>
      </c>
      <c r="J32" s="4">
        <v>60</v>
      </c>
      <c r="K32" s="43"/>
      <c r="L32" s="45">
        <v>0.64583333333333337</v>
      </c>
      <c r="M32" s="43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8">
        <v>32</v>
      </c>
      <c r="U32" s="4">
        <v>48</v>
      </c>
      <c r="V32" s="4">
        <f>T32*S32</f>
        <v>0</v>
      </c>
      <c r="W32" s="4">
        <f>U32*S32</f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45">
        <v>0.375</v>
      </c>
      <c r="I33" s="43">
        <v>0.38541666666666669</v>
      </c>
      <c r="J33" s="4">
        <v>15</v>
      </c>
      <c r="K33" s="43"/>
      <c r="L33" s="45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8">
        <v>32</v>
      </c>
      <c r="U33" s="4">
        <v>48</v>
      </c>
      <c r="V33" s="4">
        <f>T33*S33</f>
        <v>0</v>
      </c>
      <c r="W33" s="4">
        <f>U33*S33</f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8">
        <v>32</v>
      </c>
      <c r="U34" s="4">
        <v>48</v>
      </c>
      <c r="V34" s="4">
        <f>T34*S34</f>
        <v>0</v>
      </c>
      <c r="W34" s="4">
        <f>U34*S34</f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43">
        <v>0.43750000000000006</v>
      </c>
      <c r="J35" s="4">
        <v>40</v>
      </c>
      <c r="K35" s="43"/>
      <c r="L35" s="45">
        <v>0.40972222222222227</v>
      </c>
      <c r="M35" s="43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8">
        <v>32</v>
      </c>
      <c r="U35" s="4">
        <v>48</v>
      </c>
      <c r="V35" s="4">
        <f>T35*S35</f>
        <v>0</v>
      </c>
      <c r="W35" s="4">
        <f>U35*S35</f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45">
        <v>0.64583333333333337</v>
      </c>
      <c r="I36" s="43">
        <v>0.66666666666666674</v>
      </c>
      <c r="J36" s="4">
        <v>30</v>
      </c>
      <c r="K36" s="43"/>
      <c r="L36" s="45">
        <v>0.64583333333333337</v>
      </c>
      <c r="M36" s="43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8">
        <v>32</v>
      </c>
      <c r="U36" s="4">
        <v>48</v>
      </c>
      <c r="V36" s="4">
        <f>T36*S36</f>
        <v>0</v>
      </c>
      <c r="W36" s="4">
        <f>U36*S36</f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45">
        <v>0.64236111111111105</v>
      </c>
      <c r="I37" s="43">
        <v>0.66666666666666663</v>
      </c>
      <c r="J37" s="4">
        <v>35</v>
      </c>
      <c r="K37" s="43"/>
      <c r="L37" s="45">
        <v>0.64236111111111105</v>
      </c>
      <c r="M37" s="43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4"/>
      <c r="T37" s="48">
        <v>32</v>
      </c>
      <c r="U37" s="4">
        <v>48</v>
      </c>
      <c r="V37" s="4">
        <f>T37*S37</f>
        <v>0</v>
      </c>
      <c r="W37" s="4">
        <f>U37*S37</f>
        <v>0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45">
        <v>0.66666666666666663</v>
      </c>
      <c r="I38" s="43">
        <v>0.6875</v>
      </c>
      <c r="J38" s="4">
        <v>30</v>
      </c>
      <c r="K38" s="43"/>
      <c r="L38" s="45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4"/>
      <c r="T38" s="48">
        <v>32</v>
      </c>
      <c r="U38" s="4">
        <v>48</v>
      </c>
      <c r="V38" s="4">
        <f>T38*S38</f>
        <v>0</v>
      </c>
      <c r="W38" s="4">
        <f>U38*S38</f>
        <v>0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43">
        <v>0.70833333333333337</v>
      </c>
      <c r="J39" s="4">
        <v>30</v>
      </c>
      <c r="K39" s="43"/>
      <c r="L39" s="45">
        <v>0.6875</v>
      </c>
      <c r="M39" s="43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4"/>
      <c r="T39" s="48">
        <v>32</v>
      </c>
      <c r="U39" s="4">
        <v>48</v>
      </c>
      <c r="V39" s="4">
        <f>T39*S39</f>
        <v>0</v>
      </c>
      <c r="W39" s="4">
        <f>U39*S39</f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45">
        <v>0.54166666666666663</v>
      </c>
      <c r="I40" s="43">
        <v>0.5625</v>
      </c>
      <c r="J40" s="4">
        <v>30</v>
      </c>
      <c r="K40" s="43"/>
      <c r="L40" s="45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4"/>
      <c r="T40" s="48">
        <v>32</v>
      </c>
      <c r="U40" s="4">
        <v>48</v>
      </c>
      <c r="V40" s="4">
        <f>T40*S40</f>
        <v>0</v>
      </c>
      <c r="W40" s="4">
        <f>U40*S40</f>
        <v>0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43">
        <v>0.60416666666666663</v>
      </c>
      <c r="J41" s="4">
        <v>15</v>
      </c>
      <c r="K41" s="43"/>
      <c r="L41" s="45">
        <v>0.59375</v>
      </c>
      <c r="M41" s="43">
        <v>0.60416666666666663</v>
      </c>
      <c r="N41" s="4">
        <v>15</v>
      </c>
      <c r="O41" s="6" t="s">
        <v>26</v>
      </c>
      <c r="P41" s="4" t="s">
        <v>372</v>
      </c>
      <c r="Q41" s="4"/>
      <c r="R41" s="4"/>
      <c r="S41" s="4"/>
      <c r="T41" s="48">
        <v>32</v>
      </c>
      <c r="U41" s="4">
        <v>48</v>
      </c>
      <c r="V41" s="4">
        <f>T41*S41</f>
        <v>0</v>
      </c>
      <c r="W41" s="4">
        <f>U41*S41</f>
        <v>0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43">
        <v>0.60416666666666663</v>
      </c>
      <c r="I42" s="43">
        <v>0.625</v>
      </c>
      <c r="J42" s="4">
        <v>30</v>
      </c>
      <c r="K42" s="43"/>
      <c r="L42" s="43">
        <v>0.60416666666666663</v>
      </c>
      <c r="M42" s="43">
        <v>0.625</v>
      </c>
      <c r="N42" s="4">
        <v>30</v>
      </c>
      <c r="O42" s="4" t="s">
        <v>291</v>
      </c>
      <c r="P42" s="4" t="s">
        <v>681</v>
      </c>
      <c r="Q42" s="4"/>
      <c r="R42" s="4"/>
      <c r="S42" s="4"/>
      <c r="T42" s="48">
        <v>32</v>
      </c>
      <c r="U42" s="4">
        <v>48</v>
      </c>
      <c r="V42" s="4">
        <f>T42*S42</f>
        <v>0</v>
      </c>
      <c r="W42" s="4">
        <f>U42*S42</f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43">
        <v>0.60069444444444442</v>
      </c>
      <c r="I43" s="43">
        <v>0.64236111111111105</v>
      </c>
      <c r="J43" s="4">
        <v>60</v>
      </c>
      <c r="K43" s="43"/>
      <c r="L43" s="43">
        <v>0.60069444444444442</v>
      </c>
      <c r="M43" s="43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8">
        <v>32</v>
      </c>
      <c r="U43" s="4">
        <v>48</v>
      </c>
      <c r="V43" s="4">
        <f>T43*S43</f>
        <v>0</v>
      </c>
      <c r="W43" s="4">
        <f>U43*S43</f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45">
        <v>0.64583333333333337</v>
      </c>
      <c r="I44" s="43">
        <v>0.6875</v>
      </c>
      <c r="J44" s="4">
        <v>60</v>
      </c>
      <c r="K44" s="43"/>
      <c r="L44" s="45">
        <v>0.64583333333333337</v>
      </c>
      <c r="M44" s="43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8">
        <v>32</v>
      </c>
      <c r="U44" s="4">
        <v>48</v>
      </c>
      <c r="V44" s="4">
        <f>T44*S44</f>
        <v>0</v>
      </c>
      <c r="W44" s="4">
        <f>U44*S44</f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45">
        <v>0.41666666666666669</v>
      </c>
      <c r="I45" s="43">
        <v>0.4375</v>
      </c>
      <c r="J45" s="4">
        <v>30</v>
      </c>
      <c r="K45" s="43"/>
      <c r="L45" s="45">
        <v>0.41666666666666669</v>
      </c>
      <c r="M45" s="43">
        <v>0.4375</v>
      </c>
      <c r="N45" s="4">
        <v>30</v>
      </c>
      <c r="O45" s="6" t="s">
        <v>146</v>
      </c>
      <c r="P45" s="4"/>
      <c r="Q45" s="4"/>
      <c r="R45" s="4"/>
      <c r="S45" s="4"/>
      <c r="T45" s="48">
        <v>27</v>
      </c>
      <c r="U45" s="4">
        <v>48</v>
      </c>
      <c r="V45" s="4">
        <f>T45*S45</f>
        <v>0</v>
      </c>
      <c r="W45" s="4">
        <f>U45*S45</f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43">
        <v>0.3125</v>
      </c>
      <c r="I46" s="43">
        <v>0.32291666666666669</v>
      </c>
      <c r="J46" s="4">
        <v>15</v>
      </c>
      <c r="K46" s="43"/>
      <c r="L46" s="43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8">
        <v>27</v>
      </c>
      <c r="U46" s="4">
        <v>48</v>
      </c>
      <c r="V46" s="4">
        <f>T46*S46</f>
        <v>0</v>
      </c>
      <c r="W46" s="4">
        <f>U46*S46</f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8">
        <v>27</v>
      </c>
      <c r="U47" s="4">
        <v>48</v>
      </c>
      <c r="V47" s="4">
        <f>T47*S47</f>
        <v>0</v>
      </c>
      <c r="W47" s="4">
        <f>U47*S47</f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43">
        <v>0.38541666666666669</v>
      </c>
      <c r="J48" s="4">
        <v>15</v>
      </c>
      <c r="K48" s="43"/>
      <c r="L48" s="43">
        <v>0.375</v>
      </c>
      <c r="M48" s="43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8">
        <v>27</v>
      </c>
      <c r="U48" s="4">
        <v>48</v>
      </c>
      <c r="V48" s="4">
        <f>T48*S48</f>
        <v>0</v>
      </c>
      <c r="W48" s="4">
        <f>U48*S48</f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45">
        <v>0.33333333333333331</v>
      </c>
      <c r="I49" s="43">
        <v>0.41666666666666663</v>
      </c>
      <c r="J49" s="4">
        <v>120</v>
      </c>
      <c r="K49" s="43"/>
      <c r="L49" s="45">
        <v>0.33333333333333331</v>
      </c>
      <c r="M49" s="43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8">
        <v>27</v>
      </c>
      <c r="U49" s="4">
        <v>48</v>
      </c>
      <c r="V49" s="4">
        <f>T49*S49</f>
        <v>0</v>
      </c>
      <c r="W49" s="4">
        <f>U49*S49</f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45">
        <v>0.48958333333333331</v>
      </c>
      <c r="I50" s="43">
        <v>0.57291666666666663</v>
      </c>
      <c r="J50" s="4">
        <v>120</v>
      </c>
      <c r="K50" s="43"/>
      <c r="L50" s="45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8">
        <v>30</v>
      </c>
      <c r="U50" s="4">
        <v>48</v>
      </c>
      <c r="V50" s="4">
        <f>T50*S50</f>
        <v>0</v>
      </c>
      <c r="W50" s="4">
        <f>U50*S50</f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43">
        <v>0.66666666666666663</v>
      </c>
      <c r="J51" s="4">
        <v>150</v>
      </c>
      <c r="K51" s="43"/>
      <c r="L51" s="45">
        <v>0.5625</v>
      </c>
      <c r="M51" s="43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8">
        <v>30</v>
      </c>
      <c r="U51" s="4">
        <v>48</v>
      </c>
      <c r="V51" s="4">
        <f>T51*S51</f>
        <v>0</v>
      </c>
      <c r="W51" s="4">
        <f>U51*S51</f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45">
        <v>0.58333333333333337</v>
      </c>
      <c r="I52" s="43">
        <v>0.60416666666666674</v>
      </c>
      <c r="J52" s="4">
        <v>30</v>
      </c>
      <c r="K52" s="43"/>
      <c r="L52" s="45">
        <v>0.58333333333333337</v>
      </c>
      <c r="M52" s="43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8">
        <v>30</v>
      </c>
      <c r="U52" s="4">
        <v>48</v>
      </c>
      <c r="V52" s="4">
        <f>T52*S52</f>
        <v>0</v>
      </c>
      <c r="W52" s="4">
        <f>U52*S52</f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45">
        <v>0.58333333333333337</v>
      </c>
      <c r="I53" s="43">
        <v>0.60416666666666663</v>
      </c>
      <c r="J53" s="4">
        <v>30</v>
      </c>
      <c r="K53" s="43"/>
      <c r="L53" s="45">
        <v>0.58333333333333337</v>
      </c>
      <c r="M53" s="43">
        <v>0.60416666666666663</v>
      </c>
      <c r="N53" s="4">
        <v>30</v>
      </c>
      <c r="O53" s="6" t="s">
        <v>378</v>
      </c>
      <c r="P53" s="4"/>
      <c r="Q53" s="4"/>
      <c r="R53" s="4"/>
      <c r="S53" s="4"/>
      <c r="T53" s="48">
        <v>30</v>
      </c>
      <c r="U53" s="4">
        <v>48</v>
      </c>
      <c r="V53" s="4">
        <f>T53*S53</f>
        <v>0</v>
      </c>
      <c r="W53" s="4">
        <f>U53*S53</f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45">
        <v>0.45833333333333331</v>
      </c>
      <c r="I54" s="43">
        <v>0.47916666666666663</v>
      </c>
      <c r="J54" s="4">
        <v>30</v>
      </c>
      <c r="K54" s="43"/>
      <c r="L54" s="45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4"/>
      <c r="T54" s="48">
        <v>30</v>
      </c>
      <c r="U54" s="4">
        <v>48</v>
      </c>
      <c r="V54" s="4">
        <f>T54*S54</f>
        <v>0</v>
      </c>
      <c r="W54" s="4">
        <f>U54*S54</f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43">
        <v>0.58333333333333337</v>
      </c>
      <c r="J55" s="4">
        <v>90</v>
      </c>
      <c r="K55" s="43"/>
      <c r="L55" s="45">
        <v>0.52083333333333337</v>
      </c>
      <c r="M55" s="43">
        <v>0.58333333333333337</v>
      </c>
      <c r="N55" s="4">
        <v>90</v>
      </c>
      <c r="O55" s="6" t="s">
        <v>26</v>
      </c>
      <c r="P55" s="4" t="s">
        <v>192</v>
      </c>
      <c r="Q55" s="4"/>
      <c r="R55" s="4"/>
      <c r="S55" s="4"/>
      <c r="T55" s="48">
        <v>30</v>
      </c>
      <c r="U55" s="4">
        <v>48</v>
      </c>
      <c r="V55" s="4">
        <f>T55*S55</f>
        <v>0</v>
      </c>
      <c r="W55" s="4">
        <f>U55*S55</f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45">
        <v>0.35416666666666669</v>
      </c>
      <c r="I56" s="43">
        <v>0.375</v>
      </c>
      <c r="J56" s="4">
        <v>30</v>
      </c>
      <c r="K56" s="43"/>
      <c r="L56" s="45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8">
        <v>30</v>
      </c>
      <c r="U56" s="4">
        <v>48</v>
      </c>
      <c r="V56" s="4">
        <f>T56*S56</f>
        <v>0</v>
      </c>
      <c r="W56" s="4">
        <f>U56*S56</f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43">
        <v>0.47916666666666669</v>
      </c>
      <c r="J57" s="4">
        <v>90</v>
      </c>
      <c r="K57" s="43"/>
      <c r="L57" s="45">
        <v>0.41666666666666669</v>
      </c>
      <c r="M57" s="43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8">
        <v>30</v>
      </c>
      <c r="U57" s="4">
        <v>48</v>
      </c>
      <c r="V57" s="4">
        <f>T57*S57</f>
        <v>0</v>
      </c>
      <c r="W57" s="4">
        <f>U57*S57</f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43">
        <v>0.35416666666666669</v>
      </c>
      <c r="I58" s="43">
        <v>0.45833333333333331</v>
      </c>
      <c r="J58" s="4">
        <v>150</v>
      </c>
      <c r="K58" s="43"/>
      <c r="L58" s="43">
        <v>0.35416666666666669</v>
      </c>
      <c r="M58" s="43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4"/>
      <c r="T58" s="48">
        <v>30</v>
      </c>
      <c r="U58" s="4">
        <v>48</v>
      </c>
      <c r="V58" s="4">
        <f>T58*S58</f>
        <v>0</v>
      </c>
      <c r="W58" s="4">
        <f>U58*S58</f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45">
        <v>0.63194444444444442</v>
      </c>
      <c r="I59" s="43">
        <v>0.73611111111111116</v>
      </c>
      <c r="J59" s="4">
        <v>150</v>
      </c>
      <c r="K59" s="43"/>
      <c r="L59" s="45">
        <v>0.63194444444444442</v>
      </c>
      <c r="M59" s="43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4"/>
      <c r="T59" s="48">
        <v>30</v>
      </c>
      <c r="U59" s="4">
        <v>48</v>
      </c>
      <c r="V59" s="4">
        <f>T59*S59</f>
        <v>0</v>
      </c>
      <c r="W59" s="4">
        <f>U59*S59</f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45">
        <v>0.32291666666666669</v>
      </c>
      <c r="I60" s="43">
        <v>0.375</v>
      </c>
      <c r="J60" s="4">
        <v>75</v>
      </c>
      <c r="K60" s="43"/>
      <c r="L60" s="45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8">
        <v>30</v>
      </c>
      <c r="U60" s="4">
        <v>48</v>
      </c>
      <c r="V60" s="4">
        <f>T60*S60</f>
        <v>0</v>
      </c>
      <c r="W60" s="4">
        <f>U60*S60</f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4"/>
      <c r="R61" s="4"/>
      <c r="S61" s="4"/>
      <c r="T61" s="48">
        <v>30</v>
      </c>
      <c r="U61" s="4">
        <v>48</v>
      </c>
      <c r="V61" s="4">
        <f>T61*S61</f>
        <v>0</v>
      </c>
      <c r="W61" s="4">
        <f>U61*S61</f>
        <v>0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4"/>
      <c r="T62" s="48">
        <v>30</v>
      </c>
      <c r="U62" s="4">
        <v>48</v>
      </c>
      <c r="V62" s="4">
        <f>T62*S62</f>
        <v>0</v>
      </c>
      <c r="W62" s="4">
        <f>U62*S62</f>
        <v>0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43">
        <v>0.47222222222222221</v>
      </c>
      <c r="J63" s="4">
        <v>20</v>
      </c>
      <c r="K63" s="43"/>
      <c r="L63" s="43">
        <v>0.45833333333333331</v>
      </c>
      <c r="M63" s="43">
        <v>0.47222222222222221</v>
      </c>
      <c r="N63" s="4">
        <v>20</v>
      </c>
      <c r="O63" s="4" t="s">
        <v>181</v>
      </c>
      <c r="P63" s="4" t="s">
        <v>239</v>
      </c>
      <c r="Q63" s="4"/>
      <c r="R63" s="4"/>
      <c r="S63" s="4"/>
      <c r="T63" s="48">
        <v>30</v>
      </c>
      <c r="U63" s="4">
        <v>48</v>
      </c>
      <c r="V63" s="4">
        <f>T63*S63</f>
        <v>0</v>
      </c>
      <c r="W63" s="4">
        <f>U63*S63</f>
        <v>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45">
        <v>0.45833333333333331</v>
      </c>
      <c r="I64" s="43">
        <v>0.54166666666666663</v>
      </c>
      <c r="J64" s="4">
        <v>120</v>
      </c>
      <c r="K64" s="43"/>
      <c r="L64" s="45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4"/>
      <c r="T64" s="48">
        <v>30</v>
      </c>
      <c r="U64" s="4">
        <v>48</v>
      </c>
      <c r="V64" s="4">
        <f>T64*S64</f>
        <v>0</v>
      </c>
      <c r="W64" s="4">
        <f>U64*S64</f>
        <v>0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43">
        <v>0.54166666666666663</v>
      </c>
      <c r="J65" s="4">
        <v>60</v>
      </c>
      <c r="K65" s="43"/>
      <c r="L65" s="43">
        <v>0.5</v>
      </c>
      <c r="M65" s="43">
        <v>0.54166666666666663</v>
      </c>
      <c r="N65" s="4">
        <v>60</v>
      </c>
      <c r="O65" s="4" t="s">
        <v>26</v>
      </c>
      <c r="P65" s="4" t="s">
        <v>596</v>
      </c>
      <c r="Q65" s="4"/>
      <c r="R65" s="4"/>
      <c r="S65" s="4"/>
      <c r="T65" s="48">
        <v>30</v>
      </c>
      <c r="U65" s="4">
        <v>48</v>
      </c>
      <c r="V65" s="4">
        <f>T65*S65</f>
        <v>0</v>
      </c>
      <c r="W65" s="4">
        <f>U65*S65</f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45">
        <v>0.52083333333333337</v>
      </c>
      <c r="I66" s="43">
        <v>0.59027777777777779</v>
      </c>
      <c r="J66" s="4">
        <v>100</v>
      </c>
      <c r="K66" s="43"/>
      <c r="L66" s="45">
        <v>0.52083333333333337</v>
      </c>
      <c r="M66" s="43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8">
        <v>40</v>
      </c>
      <c r="U66" s="4">
        <v>48</v>
      </c>
      <c r="V66" s="4">
        <f>T66*S66</f>
        <v>0</v>
      </c>
      <c r="W66" s="4">
        <f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45">
        <v>0.4375</v>
      </c>
      <c r="I67" s="43">
        <v>0.46527777777777779</v>
      </c>
      <c r="J67" s="4">
        <v>40</v>
      </c>
      <c r="K67" s="43"/>
      <c r="L67" s="45">
        <v>0.4375</v>
      </c>
      <c r="M67" s="43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8">
        <v>40</v>
      </c>
      <c r="U67" s="4">
        <v>48</v>
      </c>
      <c r="V67" s="4">
        <f>T67*S67</f>
        <v>0</v>
      </c>
      <c r="W67" s="4">
        <f>U67*S67</f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45">
        <v>0.625</v>
      </c>
      <c r="I68" s="43">
        <v>0.64583333333333337</v>
      </c>
      <c r="J68" s="4">
        <v>30</v>
      </c>
      <c r="K68" s="43"/>
      <c r="L68" s="45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8">
        <v>40</v>
      </c>
      <c r="U68" s="4">
        <v>48</v>
      </c>
      <c r="V68" s="4">
        <f>T68*S68</f>
        <v>0</v>
      </c>
      <c r="W68" s="4">
        <f>U68*S68</f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43">
        <v>0.75</v>
      </c>
      <c r="J69" s="4">
        <v>90</v>
      </c>
      <c r="K69" s="43"/>
      <c r="L69" s="45">
        <v>0.6875</v>
      </c>
      <c r="M69" s="43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8">
        <v>40</v>
      </c>
      <c r="U69" s="4">
        <v>48</v>
      </c>
      <c r="V69" s="4">
        <f>T69*S69</f>
        <v>0</v>
      </c>
      <c r="W69" s="4">
        <f>U69*S69</f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45">
        <v>0.50694444444444442</v>
      </c>
      <c r="I70" s="43">
        <v>0.61111111111111105</v>
      </c>
      <c r="J70" s="4">
        <v>150</v>
      </c>
      <c r="K70" s="43"/>
      <c r="L70" s="45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8">
        <v>25</v>
      </c>
      <c r="U70" s="4">
        <v>48</v>
      </c>
      <c r="V70" s="4">
        <f>T70*S70</f>
        <v>0</v>
      </c>
      <c r="W70" s="4">
        <f>U70*S70</f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8">
        <v>25</v>
      </c>
      <c r="U71" s="4">
        <v>48</v>
      </c>
      <c r="V71" s="4">
        <f>T71*S71</f>
        <v>0</v>
      </c>
      <c r="W71" s="4">
        <f>U71*S71</f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43">
        <v>0.64583333333333337</v>
      </c>
      <c r="J72" s="4">
        <v>40</v>
      </c>
      <c r="K72" s="43"/>
      <c r="L72" s="45">
        <v>0.61805555555555558</v>
      </c>
      <c r="M72" s="43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8">
        <v>25</v>
      </c>
      <c r="U72" s="4">
        <v>48</v>
      </c>
      <c r="V72" s="4">
        <f>T72*S72</f>
        <v>0</v>
      </c>
      <c r="W72" s="4">
        <f>U72*S72</f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45">
        <v>0.41666666666666669</v>
      </c>
      <c r="I73" s="43">
        <v>0.45833333333333337</v>
      </c>
      <c r="J73" s="4">
        <v>60</v>
      </c>
      <c r="K73" s="43"/>
      <c r="L73" s="45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8">
        <v>25</v>
      </c>
      <c r="U73" s="4">
        <v>48</v>
      </c>
      <c r="V73" s="4">
        <f>T73*S73</f>
        <v>0</v>
      </c>
      <c r="W73" s="4">
        <f>U73*S73</f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43">
        <v>0.5</v>
      </c>
      <c r="J74" s="4">
        <v>60</v>
      </c>
      <c r="K74" s="43"/>
      <c r="L74" s="45">
        <v>0.45833333333333331</v>
      </c>
      <c r="M74" s="43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8">
        <v>25</v>
      </c>
      <c r="U74" s="4">
        <v>48</v>
      </c>
      <c r="V74" s="4">
        <f>T74*S74</f>
        <v>0</v>
      </c>
      <c r="W74" s="4">
        <f>U74*S74</f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43">
        <v>0.41666666666666669</v>
      </c>
      <c r="I75" s="43">
        <v>0.45833333333333331</v>
      </c>
      <c r="J75" s="4">
        <v>60</v>
      </c>
      <c r="K75" s="43"/>
      <c r="L75" s="43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8">
        <v>25</v>
      </c>
      <c r="U75" s="4">
        <v>48</v>
      </c>
      <c r="V75" s="4">
        <f>T75*S75</f>
        <v>0</v>
      </c>
      <c r="W75" s="4">
        <f>U75*S75</f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43">
        <v>0.47916666666666669</v>
      </c>
      <c r="J76" s="4">
        <v>30</v>
      </c>
      <c r="K76" s="43"/>
      <c r="L76" s="43">
        <v>0.45833333333333331</v>
      </c>
      <c r="M76" s="43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8">
        <v>25</v>
      </c>
      <c r="U76" s="4">
        <v>48</v>
      </c>
      <c r="V76" s="4">
        <f>T76*S76</f>
        <v>0</v>
      </c>
      <c r="W76" s="4">
        <f>U76*S76</f>
        <v>0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43">
        <v>0.5</v>
      </c>
      <c r="I77" s="43">
        <v>0.54166666666666663</v>
      </c>
      <c r="J77" s="4">
        <v>60</v>
      </c>
      <c r="K77" s="43"/>
      <c r="L77" s="43">
        <v>0.5</v>
      </c>
      <c r="M77" s="43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4"/>
      <c r="T77" s="48">
        <v>25</v>
      </c>
      <c r="U77" s="4">
        <v>48</v>
      </c>
      <c r="V77" s="4">
        <f>T77*S77</f>
        <v>0</v>
      </c>
      <c r="W77" s="4">
        <f>U77*S77</f>
        <v>0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45">
        <v>0.5625</v>
      </c>
      <c r="I78" s="43">
        <v>0.57291666666666663</v>
      </c>
      <c r="J78" s="4">
        <v>15</v>
      </c>
      <c r="K78" s="43"/>
      <c r="L78" s="45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4"/>
      <c r="T78" s="48">
        <v>25</v>
      </c>
      <c r="U78" s="4">
        <v>48</v>
      </c>
      <c r="V78" s="4">
        <f>T78*S78</f>
        <v>0</v>
      </c>
      <c r="W78" s="4">
        <f>U78*S78</f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4"/>
      <c r="T79" s="48">
        <v>25</v>
      </c>
      <c r="U79" s="4">
        <v>48</v>
      </c>
      <c r="V79" s="4">
        <f>T79*S79</f>
        <v>0</v>
      </c>
      <c r="W79" s="4">
        <f>U79*S79</f>
        <v>0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43">
        <v>0.625</v>
      </c>
      <c r="J80" s="4">
        <v>40</v>
      </c>
      <c r="K80" s="43"/>
      <c r="L80" s="43">
        <v>0.59722222222222221</v>
      </c>
      <c r="M80" s="43">
        <v>0.625</v>
      </c>
      <c r="N80" s="4">
        <v>40</v>
      </c>
      <c r="O80" s="6" t="s">
        <v>74</v>
      </c>
      <c r="P80" s="4" t="s">
        <v>91</v>
      </c>
      <c r="Q80" s="4"/>
      <c r="R80" s="4"/>
      <c r="S80" s="4"/>
      <c r="T80" s="48">
        <v>25</v>
      </c>
      <c r="U80" s="4">
        <v>48</v>
      </c>
      <c r="V80" s="4">
        <f>T80*S80</f>
        <v>0</v>
      </c>
      <c r="W80" s="4">
        <f>U80*S80</f>
        <v>0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45">
        <v>0.5625</v>
      </c>
      <c r="I81" s="43">
        <v>0.57291666666666663</v>
      </c>
      <c r="J81" s="4">
        <v>15</v>
      </c>
      <c r="K81" s="43"/>
      <c r="L81" s="45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8">
        <v>25</v>
      </c>
      <c r="U81" s="4">
        <v>48</v>
      </c>
      <c r="V81" s="4">
        <f>T81*S81</f>
        <v>0</v>
      </c>
      <c r="W81" s="4">
        <f>U81*S81</f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43">
        <v>0.625</v>
      </c>
      <c r="J82" s="4">
        <v>60</v>
      </c>
      <c r="K82" s="43"/>
      <c r="L82" s="45">
        <v>0.58333333333333337</v>
      </c>
      <c r="M82" s="43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8">
        <v>25</v>
      </c>
      <c r="U82" s="4">
        <v>48</v>
      </c>
      <c r="V82" s="4">
        <f>T82*S82</f>
        <v>0</v>
      </c>
      <c r="W82" s="4">
        <f>U82*S82</f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45">
        <v>0.5625</v>
      </c>
      <c r="I83" s="43">
        <v>0.58333333333333337</v>
      </c>
      <c r="J83" s="4">
        <v>30</v>
      </c>
      <c r="K83" s="43"/>
      <c r="L83" s="45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8">
        <v>25</v>
      </c>
      <c r="U83" s="4">
        <v>48</v>
      </c>
      <c r="V83" s="4">
        <f>T83*S83</f>
        <v>0</v>
      </c>
      <c r="W83" s="4">
        <f>U83*S83</f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43">
        <v>0.61458333333333337</v>
      </c>
      <c r="J84" s="4">
        <v>45</v>
      </c>
      <c r="K84" s="43"/>
      <c r="L84" s="45">
        <v>0.58333333333333337</v>
      </c>
      <c r="M84" s="43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8">
        <v>25</v>
      </c>
      <c r="U84" s="4">
        <v>48</v>
      </c>
      <c r="V84" s="4">
        <f>T84*S84</f>
        <v>0</v>
      </c>
      <c r="W84" s="4">
        <f>U84*S84</f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45">
        <v>0.52777777777777779</v>
      </c>
      <c r="I85" s="43">
        <v>0.63194444444444442</v>
      </c>
      <c r="J85" s="4">
        <v>150</v>
      </c>
      <c r="K85" s="43"/>
      <c r="L85" s="45">
        <v>0.52777777777777779</v>
      </c>
      <c r="M85" s="43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8">
        <v>25</v>
      </c>
      <c r="U85" s="4">
        <v>48</v>
      </c>
      <c r="V85" s="4">
        <f>T85*S85</f>
        <v>0</v>
      </c>
      <c r="W85" s="4">
        <f>U85*S85</f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43">
        <v>0.41666666666666669</v>
      </c>
      <c r="I86" s="43">
        <v>0.45833333333333337</v>
      </c>
      <c r="J86" s="4">
        <v>60</v>
      </c>
      <c r="K86" s="43"/>
      <c r="L86" s="43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4"/>
      <c r="T86" s="48">
        <v>28</v>
      </c>
      <c r="U86" s="4">
        <v>48</v>
      </c>
      <c r="V86" s="4">
        <f>T86*S86</f>
        <v>0</v>
      </c>
      <c r="W86" s="4">
        <f>U86*S86</f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4"/>
      <c r="T87" s="48">
        <v>28</v>
      </c>
      <c r="U87" s="4">
        <v>48</v>
      </c>
      <c r="V87" s="4">
        <f>T87*S87</f>
        <v>0</v>
      </c>
      <c r="W87" s="4">
        <f>U87*S87</f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4"/>
      <c r="R88" s="4"/>
      <c r="S88" s="4"/>
      <c r="T88" s="48">
        <v>28</v>
      </c>
      <c r="U88" s="4">
        <v>48</v>
      </c>
      <c r="V88" s="4">
        <f>T88*S88</f>
        <v>0</v>
      </c>
      <c r="W88" s="4">
        <f>U88*S88</f>
        <v>0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4"/>
      <c r="R89" s="4"/>
      <c r="S89" s="4"/>
      <c r="T89" s="48">
        <v>28</v>
      </c>
      <c r="U89" s="4">
        <v>48</v>
      </c>
      <c r="V89" s="4">
        <f>T89*S89</f>
        <v>0</v>
      </c>
      <c r="W89" s="4">
        <f>U89*S89</f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4"/>
      <c r="T90" s="48">
        <v>28</v>
      </c>
      <c r="U90" s="4">
        <v>48</v>
      </c>
      <c r="V90" s="4">
        <f>T90*S90</f>
        <v>0</v>
      </c>
      <c r="W90" s="4">
        <f>U90*S90</f>
        <v>0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4"/>
      <c r="T91" s="48">
        <v>28</v>
      </c>
      <c r="U91" s="4">
        <v>48</v>
      </c>
      <c r="V91" s="4">
        <f>T91*S91</f>
        <v>0</v>
      </c>
      <c r="W91" s="4">
        <f>U91*S91</f>
        <v>0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9"/>
      <c r="R92" s="9"/>
      <c r="S92" s="9"/>
      <c r="T92" s="49">
        <v>28</v>
      </c>
      <c r="U92" s="9">
        <v>48</v>
      </c>
      <c r="V92" s="4">
        <f>T92*S92</f>
        <v>0</v>
      </c>
      <c r="W92" s="4">
        <f>U92*S92</f>
        <v>0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46">
        <v>0.70833333333333337</v>
      </c>
      <c r="J93" s="9">
        <v>60</v>
      </c>
      <c r="K93" s="44"/>
      <c r="L93" s="46">
        <v>0.66666666666666663</v>
      </c>
      <c r="M93" s="4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9"/>
      <c r="T93" s="49">
        <v>28</v>
      </c>
      <c r="U93" s="9">
        <v>48</v>
      </c>
      <c r="V93" s="4">
        <f>T93*S93</f>
        <v>0</v>
      </c>
      <c r="W93" s="4">
        <f>U93*S93</f>
        <v>0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43">
        <v>0.36458333333333331</v>
      </c>
      <c r="I94" s="43">
        <v>0.375</v>
      </c>
      <c r="J94" s="4">
        <v>15</v>
      </c>
      <c r="K94" s="43"/>
      <c r="L94" s="43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4"/>
      <c r="T94" s="48">
        <v>28</v>
      </c>
      <c r="U94" s="4">
        <v>48</v>
      </c>
      <c r="V94" s="4">
        <f>T94*S94</f>
        <v>0</v>
      </c>
      <c r="W94" s="4">
        <f>U94*S94</f>
        <v>0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43">
        <v>0.41666666666666669</v>
      </c>
      <c r="J95" s="4">
        <v>60</v>
      </c>
      <c r="K95" s="43"/>
      <c r="L95" s="43">
        <v>0.375</v>
      </c>
      <c r="M95" s="43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4"/>
      <c r="T95" s="48">
        <v>28</v>
      </c>
      <c r="U95" s="4">
        <v>48</v>
      </c>
      <c r="V95" s="4">
        <f>T95*S95</f>
        <v>0</v>
      </c>
      <c r="W95" s="4">
        <f>U95*S95</f>
        <v>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45">
        <v>0.38541666666666669</v>
      </c>
      <c r="I96" s="43">
        <v>0.41666666666666669</v>
      </c>
      <c r="J96" s="4">
        <v>45</v>
      </c>
      <c r="K96" s="43"/>
      <c r="L96" s="45">
        <v>0.38541666666666669</v>
      </c>
      <c r="M96" s="43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4"/>
      <c r="T96" s="48">
        <v>28</v>
      </c>
      <c r="U96" s="4">
        <v>48</v>
      </c>
      <c r="V96" s="4">
        <f>T96*S96</f>
        <v>0</v>
      </c>
      <c r="W96" s="4">
        <f>U96*S96</f>
        <v>0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46">
        <v>0.48958333333333331</v>
      </c>
      <c r="I97" s="46">
        <v>0.52083333333333337</v>
      </c>
      <c r="J97" s="9">
        <v>45</v>
      </c>
      <c r="K97" s="44"/>
      <c r="L97" s="46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9"/>
      <c r="T97" s="49">
        <v>28</v>
      </c>
      <c r="U97" s="9">
        <v>48</v>
      </c>
      <c r="V97" s="4">
        <f>T97*S97</f>
        <v>0</v>
      </c>
      <c r="W97" s="4">
        <f>U97*S97</f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9"/>
      <c r="R98" s="9"/>
      <c r="S98" s="9"/>
      <c r="T98" s="49">
        <v>28</v>
      </c>
      <c r="U98" s="9">
        <v>48</v>
      </c>
      <c r="V98" s="4">
        <f>T98*S98</f>
        <v>0</v>
      </c>
      <c r="W98" s="4">
        <f>U98*S98</f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9"/>
      <c r="T99" s="49">
        <v>28</v>
      </c>
      <c r="U99" s="9">
        <v>48</v>
      </c>
      <c r="V99" s="4">
        <f>T99*S99</f>
        <v>0</v>
      </c>
      <c r="W99" s="4">
        <f>U99*S99</f>
        <v>0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4"/>
      <c r="T100" s="48">
        <v>28</v>
      </c>
      <c r="U100" s="4">
        <v>48</v>
      </c>
      <c r="V100" s="4">
        <f>T100*S100</f>
        <v>0</v>
      </c>
      <c r="W100" s="4">
        <f>U100*S100</f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43">
        <v>0.65625</v>
      </c>
      <c r="J101" s="4">
        <v>45</v>
      </c>
      <c r="K101" s="43"/>
      <c r="L101" s="43">
        <v>0.625</v>
      </c>
      <c r="M101" s="43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8">
        <v>28</v>
      </c>
      <c r="U101" s="4">
        <v>48</v>
      </c>
      <c r="V101" s="4">
        <f>T101*S101</f>
        <v>0</v>
      </c>
      <c r="W101" s="4">
        <f>U101*S101</f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43">
        <v>0.58680555555555558</v>
      </c>
      <c r="I102" s="43">
        <v>0.60763888888888884</v>
      </c>
      <c r="J102" s="4">
        <v>30</v>
      </c>
      <c r="K102" s="43"/>
      <c r="L102" s="43">
        <v>0.58680555555555558</v>
      </c>
      <c r="M102" s="43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4"/>
      <c r="T102" s="48">
        <v>28</v>
      </c>
      <c r="U102" s="4">
        <v>48</v>
      </c>
      <c r="V102" s="4">
        <f>T102*S102</f>
        <v>0</v>
      </c>
      <c r="W102" s="4">
        <f>U102*S102</f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43">
        <v>0.35416666666666669</v>
      </c>
      <c r="I103" s="43">
        <v>0.375</v>
      </c>
      <c r="J103" s="4">
        <v>30</v>
      </c>
      <c r="K103" s="43"/>
      <c r="L103" s="43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4"/>
      <c r="T103" s="48">
        <v>28</v>
      </c>
      <c r="U103" s="4">
        <v>48</v>
      </c>
      <c r="V103" s="4">
        <f>T103*S103</f>
        <v>0</v>
      </c>
      <c r="W103" s="4">
        <f>U103*S103</f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43">
        <v>0.39583333333333331</v>
      </c>
      <c r="J104" s="4">
        <v>15</v>
      </c>
      <c r="K104" s="43"/>
      <c r="L104" s="43">
        <v>0.38541666666666669</v>
      </c>
      <c r="M104" s="43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4"/>
      <c r="T104" s="48">
        <v>28</v>
      </c>
      <c r="U104" s="4">
        <v>48</v>
      </c>
      <c r="V104" s="4">
        <f>T104*S104</f>
        <v>0</v>
      </c>
      <c r="W104" s="4">
        <f>U104*S104</f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43">
        <v>0.54166666666666663</v>
      </c>
      <c r="I105" s="43">
        <v>0.58333333333333337</v>
      </c>
      <c r="J105" s="4">
        <v>60</v>
      </c>
      <c r="K105" s="43"/>
      <c r="L105" s="43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4"/>
      <c r="T105" s="48">
        <v>28</v>
      </c>
      <c r="U105" s="4">
        <v>48</v>
      </c>
      <c r="V105" s="4">
        <f>T105*S105</f>
        <v>0</v>
      </c>
      <c r="W105" s="4">
        <f>U105*S105</f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43">
        <v>0.59375</v>
      </c>
      <c r="J106" s="4">
        <v>15</v>
      </c>
      <c r="K106" s="43"/>
      <c r="L106" s="43">
        <v>0.58333333333333337</v>
      </c>
      <c r="M106" s="43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4"/>
      <c r="T106" s="48">
        <v>28</v>
      </c>
      <c r="U106" s="4">
        <v>48</v>
      </c>
      <c r="V106" s="4">
        <f>T106*S106</f>
        <v>0</v>
      </c>
      <c r="W106" s="4">
        <f>U106*S106</f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45">
        <v>0.66666666666666663</v>
      </c>
      <c r="I107" s="43">
        <v>0.71527777777777779</v>
      </c>
      <c r="J107" s="4">
        <v>70</v>
      </c>
      <c r="K107" s="43"/>
      <c r="L107" s="45">
        <v>0.66666666666666663</v>
      </c>
      <c r="M107" s="43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8">
        <v>30</v>
      </c>
      <c r="U107" s="4">
        <v>48</v>
      </c>
      <c r="V107" s="4">
        <f>T107*S107</f>
        <v>0</v>
      </c>
      <c r="W107" s="4">
        <f>U107*S107</f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43">
        <v>0.27083333333333331</v>
      </c>
      <c r="I108" s="43">
        <v>0.39583333333333331</v>
      </c>
      <c r="J108" s="4">
        <v>240</v>
      </c>
      <c r="K108" s="43"/>
      <c r="L108" s="43">
        <v>0.27083333333333331</v>
      </c>
      <c r="M108" s="43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8">
        <v>30</v>
      </c>
      <c r="U108" s="4">
        <v>48</v>
      </c>
      <c r="V108" s="4">
        <f>T108*S108</f>
        <v>0</v>
      </c>
      <c r="W108" s="4">
        <f>U108*S108</f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43">
        <v>0.52083333333333337</v>
      </c>
      <c r="I109" s="43">
        <v>0.54166666666666663</v>
      </c>
      <c r="J109" s="4">
        <v>30</v>
      </c>
      <c r="K109" s="43"/>
      <c r="L109" s="43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8">
        <v>30</v>
      </c>
      <c r="U109" s="4">
        <v>48</v>
      </c>
      <c r="V109" s="4">
        <f>T109*S109</f>
        <v>0</v>
      </c>
      <c r="W109" s="4">
        <f>U109*S109</f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8">
        <v>30</v>
      </c>
      <c r="U110" s="4">
        <v>48</v>
      </c>
      <c r="V110" s="4">
        <f>T110*S110</f>
        <v>0</v>
      </c>
      <c r="W110" s="4">
        <f>U110*S110</f>
        <v>0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4"/>
      <c r="R111" s="4"/>
      <c r="S111" s="4"/>
      <c r="T111" s="48">
        <v>30</v>
      </c>
      <c r="U111" s="4">
        <v>48</v>
      </c>
      <c r="V111" s="4">
        <f>T111*S111</f>
        <v>0</v>
      </c>
      <c r="W111" s="4">
        <f>U111*S111</f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43">
        <v>0.60416666666666674</v>
      </c>
      <c r="J112" s="4">
        <v>30</v>
      </c>
      <c r="K112" s="43"/>
      <c r="L112" s="43">
        <v>0.58333333333333337</v>
      </c>
      <c r="M112" s="43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4"/>
      <c r="T112" s="48">
        <v>30</v>
      </c>
      <c r="U112" s="4">
        <v>48</v>
      </c>
      <c r="V112" s="4">
        <f>T112*S112</f>
        <v>0</v>
      </c>
      <c r="W112" s="4">
        <f>U112*S112</f>
        <v>0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43">
        <v>0.625</v>
      </c>
      <c r="I113" s="43">
        <v>0.64583333333333337</v>
      </c>
      <c r="J113" s="4">
        <v>30</v>
      </c>
      <c r="K113" s="43"/>
      <c r="L113" s="43">
        <v>0.625</v>
      </c>
      <c r="M113" s="43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8">
        <v>30</v>
      </c>
      <c r="U113" s="4">
        <v>48</v>
      </c>
      <c r="V113" s="4">
        <f>T113*S113</f>
        <v>0</v>
      </c>
      <c r="W113" s="4">
        <f>U113*S113</f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45">
        <v>0.61111111111111105</v>
      </c>
      <c r="I114" s="43">
        <v>0.64583333333333326</v>
      </c>
      <c r="J114" s="4">
        <v>50</v>
      </c>
      <c r="K114" s="43"/>
      <c r="L114" s="45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8">
        <v>33</v>
      </c>
      <c r="U114" s="4">
        <v>48</v>
      </c>
      <c r="V114" s="4">
        <f>T114*S114</f>
        <v>0</v>
      </c>
      <c r="W114" s="4">
        <f>U114*S114</f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43">
        <v>0.6875</v>
      </c>
      <c r="J115" s="4">
        <v>60</v>
      </c>
      <c r="K115" s="43"/>
      <c r="L115" s="45">
        <v>0.64583333333333337</v>
      </c>
      <c r="M115" s="43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8">
        <v>33</v>
      </c>
      <c r="U115" s="4">
        <v>48</v>
      </c>
      <c r="V115" s="4">
        <f>T115*S115</f>
        <v>0</v>
      </c>
      <c r="W115" s="4">
        <f>U115*S115</f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43">
        <v>0.5625</v>
      </c>
      <c r="I116" s="43">
        <v>0.60416666666666663</v>
      </c>
      <c r="J116" s="4">
        <v>60</v>
      </c>
      <c r="K116" s="43"/>
      <c r="L116" s="43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4"/>
      <c r="T116" s="48">
        <v>33</v>
      </c>
      <c r="U116" s="4">
        <v>48</v>
      </c>
      <c r="V116" s="4">
        <f>T116*S116</f>
        <v>0</v>
      </c>
      <c r="W116" s="4">
        <f>U116*S116</f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43">
        <v>0.70833333333333326</v>
      </c>
      <c r="J117" s="4">
        <v>150</v>
      </c>
      <c r="K117" s="43"/>
      <c r="L117" s="43">
        <v>0.60416666666666663</v>
      </c>
      <c r="M117" s="43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4"/>
      <c r="T117" s="48">
        <v>33</v>
      </c>
      <c r="U117" s="4">
        <v>48</v>
      </c>
      <c r="V117" s="4">
        <f>T117*S117</f>
        <v>0</v>
      </c>
      <c r="W117" s="4">
        <f>U117*S117</f>
        <v>0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45">
        <v>0.41666666666666669</v>
      </c>
      <c r="I118" s="43">
        <v>0.44444444444444448</v>
      </c>
      <c r="J118" s="4">
        <v>40</v>
      </c>
      <c r="K118" s="43"/>
      <c r="L118" s="45">
        <v>0.41666666666666669</v>
      </c>
      <c r="M118" s="43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4"/>
      <c r="T118" s="48">
        <v>33</v>
      </c>
      <c r="U118" s="4">
        <v>48</v>
      </c>
      <c r="V118" s="4">
        <f>T118*S118</f>
        <v>0</v>
      </c>
      <c r="W118" s="4">
        <f>U118*S118</f>
        <v>0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45">
        <v>0.43055555555555558</v>
      </c>
      <c r="I119" s="43">
        <v>0.45833333333333337</v>
      </c>
      <c r="J119" s="4">
        <v>40</v>
      </c>
      <c r="K119" s="43"/>
      <c r="L119" s="45">
        <v>0.43055555555555558</v>
      </c>
      <c r="M119" s="43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8">
        <v>33</v>
      </c>
      <c r="U119" s="4">
        <v>48</v>
      </c>
      <c r="V119" s="4">
        <f>T119*S119</f>
        <v>0</v>
      </c>
      <c r="W119" s="4">
        <f>U119*S119</f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45">
        <v>0.66666666666666663</v>
      </c>
      <c r="I120" s="43">
        <v>0.6875</v>
      </c>
      <c r="J120" s="4">
        <v>30</v>
      </c>
      <c r="K120" s="43"/>
      <c r="L120" s="45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8">
        <v>32</v>
      </c>
      <c r="U120" s="4">
        <v>48</v>
      </c>
      <c r="V120" s="4">
        <f>T120*S120</f>
        <v>0</v>
      </c>
      <c r="W120" s="4">
        <f>U120*S120</f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43">
        <v>0.70833333333333337</v>
      </c>
      <c r="J121" s="4">
        <v>30</v>
      </c>
      <c r="K121" s="43"/>
      <c r="L121" s="45">
        <v>0.6875</v>
      </c>
      <c r="M121" s="43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8">
        <v>32</v>
      </c>
      <c r="U121" s="4">
        <v>48</v>
      </c>
      <c r="V121" s="4">
        <f>T121*S121</f>
        <v>0</v>
      </c>
      <c r="W121" s="4">
        <f>U121*S121</f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45">
        <v>0.61458333333333337</v>
      </c>
      <c r="I122" s="43">
        <v>0.65625</v>
      </c>
      <c r="J122" s="4">
        <v>60</v>
      </c>
      <c r="K122" s="43"/>
      <c r="L122" s="45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8">
        <v>40</v>
      </c>
      <c r="U122" s="4">
        <v>48</v>
      </c>
      <c r="V122" s="4">
        <f>T122*S122</f>
        <v>0</v>
      </c>
      <c r="W122" s="4">
        <f>U122*S122</f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43">
        <v>0.67708333333333337</v>
      </c>
      <c r="J123" s="4">
        <v>30</v>
      </c>
      <c r="K123" s="43"/>
      <c r="L123" s="45">
        <v>0.65625</v>
      </c>
      <c r="M123" s="43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8">
        <v>40</v>
      </c>
      <c r="U123" s="4">
        <v>48</v>
      </c>
      <c r="V123" s="4">
        <f>T123*S123</f>
        <v>0</v>
      </c>
      <c r="W123" s="4">
        <f>U123*S123</f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45">
        <v>0.41666666666666669</v>
      </c>
      <c r="I124" s="43">
        <v>0.47916666666666669</v>
      </c>
      <c r="J124" s="4">
        <v>90</v>
      </c>
      <c r="K124" s="43"/>
      <c r="L124" s="45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8">
        <v>37</v>
      </c>
      <c r="U124" s="4">
        <v>48</v>
      </c>
      <c r="V124" s="4">
        <f>T124*S124</f>
        <v>0</v>
      </c>
      <c r="W124" s="4">
        <f>U124*S124</f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8">
        <v>37</v>
      </c>
      <c r="U125" s="4">
        <v>48</v>
      </c>
      <c r="V125" s="4">
        <f>T125*S125</f>
        <v>0</v>
      </c>
      <c r="W125" s="4">
        <f>U125*S125</f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43">
        <v>0.5625</v>
      </c>
      <c r="J126" s="4">
        <v>15</v>
      </c>
      <c r="K126" s="43"/>
      <c r="L126" s="45">
        <v>0.55208333333333337</v>
      </c>
      <c r="M126" s="43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8">
        <v>37</v>
      </c>
      <c r="U126" s="4">
        <v>48</v>
      </c>
      <c r="V126" s="4">
        <f>T126*S126</f>
        <v>0</v>
      </c>
      <c r="W126" s="4">
        <f>U126*S126</f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45">
        <v>0.58333333333333337</v>
      </c>
      <c r="I127" s="43">
        <v>0.625</v>
      </c>
      <c r="J127" s="4">
        <v>60</v>
      </c>
      <c r="K127" s="43"/>
      <c r="L127" s="45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8">
        <v>37</v>
      </c>
      <c r="U127" s="4">
        <v>48</v>
      </c>
      <c r="V127" s="4">
        <f>T127*S127</f>
        <v>0</v>
      </c>
      <c r="W127" s="4">
        <f>U127*S127</f>
        <v>0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43">
        <v>0.65625</v>
      </c>
      <c r="J128" s="4">
        <v>45</v>
      </c>
      <c r="K128" s="43"/>
      <c r="L128" s="45">
        <v>0.625</v>
      </c>
      <c r="M128" s="43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4"/>
      <c r="T128" s="48">
        <v>37</v>
      </c>
      <c r="U128" s="4">
        <v>48</v>
      </c>
      <c r="V128" s="4">
        <f>T128*S128</f>
        <v>0</v>
      </c>
      <c r="W128" s="4">
        <f>U128*S128</f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45">
        <v>0.625</v>
      </c>
      <c r="I129" s="43">
        <v>0.64583333333333337</v>
      </c>
      <c r="J129" s="4">
        <v>30</v>
      </c>
      <c r="K129" s="43"/>
      <c r="L129" s="45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4"/>
      <c r="T129" s="48">
        <v>37</v>
      </c>
      <c r="U129" s="4">
        <v>48</v>
      </c>
      <c r="V129" s="4">
        <f>T129*S129</f>
        <v>0</v>
      </c>
      <c r="W129" s="4">
        <f>U129*S129</f>
        <v>0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43">
        <v>0.66666666666666663</v>
      </c>
      <c r="J130" s="4">
        <v>30</v>
      </c>
      <c r="K130" s="43"/>
      <c r="L130" s="43">
        <v>0.64583333333333337</v>
      </c>
      <c r="M130" s="43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4"/>
      <c r="T130" s="48">
        <v>37</v>
      </c>
      <c r="U130" s="4">
        <v>48</v>
      </c>
      <c r="V130" s="4">
        <f>T130*S130</f>
        <v>0</v>
      </c>
      <c r="W130" s="4">
        <f>U130*S130</f>
        <v>0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45">
        <v>0.54166666666666663</v>
      </c>
      <c r="I131" s="43">
        <v>0.5625</v>
      </c>
      <c r="J131" s="4">
        <v>30</v>
      </c>
      <c r="K131" s="43"/>
      <c r="L131" s="45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4"/>
      <c r="T131" s="48">
        <v>35</v>
      </c>
      <c r="U131" s="4">
        <v>48</v>
      </c>
      <c r="V131" s="4">
        <f>T131*S131</f>
        <v>0</v>
      </c>
      <c r="W131" s="4">
        <f>U131*S131</f>
        <v>0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8">
        <v>35</v>
      </c>
      <c r="U132" s="4">
        <v>48</v>
      </c>
      <c r="V132" s="4">
        <f>T132*S132</f>
        <v>0</v>
      </c>
      <c r="W132" s="4">
        <f>U132*S132</f>
        <v>0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4"/>
      <c r="R133" s="4"/>
      <c r="S133" s="4"/>
      <c r="T133" s="48">
        <v>35</v>
      </c>
      <c r="U133" s="4">
        <v>48</v>
      </c>
      <c r="V133" s="4">
        <f>T133*S133</f>
        <v>0</v>
      </c>
      <c r="W133" s="4">
        <f>U133*S133</f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4"/>
      <c r="T134" s="48">
        <v>35</v>
      </c>
      <c r="U134" s="4">
        <v>48</v>
      </c>
      <c r="V134" s="4">
        <f>T134*S134</f>
        <v>0</v>
      </c>
      <c r="W134" s="4">
        <f>U134*S134</f>
        <v>0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4"/>
      <c r="R135" s="4"/>
      <c r="S135" s="4"/>
      <c r="T135" s="48">
        <v>35</v>
      </c>
      <c r="U135" s="4">
        <v>48</v>
      </c>
      <c r="V135" s="4">
        <f>T135*S135</f>
        <v>0</v>
      </c>
      <c r="W135" s="4">
        <f>U135*S135</f>
        <v>0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4"/>
      <c r="R136" s="4"/>
      <c r="S136" s="4"/>
      <c r="T136" s="48">
        <v>35</v>
      </c>
      <c r="U136" s="4">
        <v>48</v>
      </c>
      <c r="V136" s="4">
        <f>T136*S136</f>
        <v>0</v>
      </c>
      <c r="W136" s="4">
        <f>U136*S136</f>
        <v>0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43">
        <v>0.83333333333333337</v>
      </c>
      <c r="J137" s="4">
        <v>120</v>
      </c>
      <c r="K137" s="43"/>
      <c r="L137" s="45">
        <v>0.75</v>
      </c>
      <c r="M137" s="43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8">
        <v>35</v>
      </c>
      <c r="U137" s="4">
        <v>48</v>
      </c>
      <c r="V137" s="4">
        <f>T137*S137</f>
        <v>0</v>
      </c>
      <c r="W137" s="4">
        <f>U137*S137</f>
        <v>0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45">
        <v>0.4236111111111111</v>
      </c>
      <c r="I138" s="43">
        <v>0.46527777777777779</v>
      </c>
      <c r="J138" s="4">
        <v>60</v>
      </c>
      <c r="K138" s="43"/>
      <c r="L138" s="45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8">
        <v>27</v>
      </c>
      <c r="U138" s="4">
        <v>48</v>
      </c>
      <c r="V138" s="4">
        <f>T138*S138</f>
        <v>0</v>
      </c>
      <c r="W138" s="4">
        <f>U138*S138</f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43">
        <v>0.54166666666666663</v>
      </c>
      <c r="J139" s="4">
        <v>60</v>
      </c>
      <c r="K139" s="43"/>
      <c r="L139" s="45">
        <v>0.5</v>
      </c>
      <c r="M139" s="43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8">
        <v>27</v>
      </c>
      <c r="U139" s="4">
        <v>48</v>
      </c>
      <c r="V139" s="4">
        <f>T139*S139</f>
        <v>0</v>
      </c>
      <c r="W139" s="4">
        <f>U139*S139</f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43">
        <v>0.42708333333333331</v>
      </c>
      <c r="I140" s="43">
        <v>0.4375</v>
      </c>
      <c r="J140" s="4">
        <v>15</v>
      </c>
      <c r="K140" s="43"/>
      <c r="L140" s="43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8">
        <v>27</v>
      </c>
      <c r="U140" s="4">
        <v>48</v>
      </c>
      <c r="V140" s="4">
        <f>T140*S140</f>
        <v>0</v>
      </c>
      <c r="W140" s="4">
        <f>U140*S140</f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8">
        <v>27</v>
      </c>
      <c r="U141" s="4">
        <v>48</v>
      </c>
      <c r="V141" s="4">
        <f>T141*S141</f>
        <v>0</v>
      </c>
      <c r="W141" s="4">
        <f>U141*S141</f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43">
        <v>0.5</v>
      </c>
      <c r="J142" s="4">
        <v>60</v>
      </c>
      <c r="K142" s="43"/>
      <c r="L142" s="43">
        <v>0.45833333333333331</v>
      </c>
      <c r="M142" s="43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8">
        <v>27</v>
      </c>
      <c r="U142" s="4">
        <v>48</v>
      </c>
      <c r="V142" s="4">
        <f>T142*S142</f>
        <v>0</v>
      </c>
      <c r="W142" s="4">
        <f>U142*S142</f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45">
        <v>0.47916666666666669</v>
      </c>
      <c r="I143" s="43">
        <v>0.5</v>
      </c>
      <c r="J143" s="4">
        <v>30</v>
      </c>
      <c r="K143" s="43"/>
      <c r="L143" s="45">
        <v>0.47916666666666669</v>
      </c>
      <c r="M143" s="43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8">
        <v>25</v>
      </c>
      <c r="U143" s="4">
        <v>48</v>
      </c>
      <c r="V143" s="4">
        <f>T143*S143</f>
        <v>0</v>
      </c>
      <c r="W143" s="4">
        <f>U143*S143</f>
        <v>0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45">
        <v>0.4201388888888889</v>
      </c>
      <c r="I144" s="43">
        <v>0.4375</v>
      </c>
      <c r="J144" s="4">
        <v>25</v>
      </c>
      <c r="K144" s="43"/>
      <c r="L144" s="45">
        <v>0.4201388888888889</v>
      </c>
      <c r="M144" s="43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"/>
      <c r="U144" s="4">
        <v>48</v>
      </c>
      <c r="V144" s="4">
        <f>T144*S144</f>
        <v>0</v>
      </c>
      <c r="W144" s="4">
        <f>U144*S144</f>
        <v>0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45">
        <v>0.39583333333333331</v>
      </c>
      <c r="I145" s="43">
        <v>0.41666666666666663</v>
      </c>
      <c r="J145" s="4">
        <v>30</v>
      </c>
      <c r="K145" s="43"/>
      <c r="L145" s="45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4"/>
      <c r="T145" s="48">
        <v>25</v>
      </c>
      <c r="U145" s="4">
        <v>48</v>
      </c>
      <c r="V145" s="4">
        <f>T145*S145</f>
        <v>0</v>
      </c>
      <c r="W145" s="4">
        <f>U145*S145</f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4"/>
      <c r="T146" s="48">
        <v>25</v>
      </c>
      <c r="U146" s="4">
        <v>48</v>
      </c>
      <c r="V146" s="4">
        <f>T146*S146</f>
        <v>0</v>
      </c>
      <c r="W146" s="4">
        <f>U146*S146</f>
        <v>0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43">
        <v>0.58333333333333337</v>
      </c>
      <c r="J147" s="4">
        <v>120</v>
      </c>
      <c r="K147" s="43"/>
      <c r="L147" s="45">
        <v>0.5</v>
      </c>
      <c r="M147" s="43">
        <v>0.58333333333333337</v>
      </c>
      <c r="N147" s="4">
        <v>120</v>
      </c>
      <c r="O147" s="6" t="s">
        <v>26</v>
      </c>
      <c r="P147" s="4" t="s">
        <v>175</v>
      </c>
      <c r="Q147" s="4"/>
      <c r="R147" s="4"/>
      <c r="S147" s="4"/>
      <c r="T147" s="48">
        <v>25</v>
      </c>
      <c r="U147" s="4">
        <v>48</v>
      </c>
      <c r="V147" s="4">
        <f>T147*S147</f>
        <v>0</v>
      </c>
      <c r="W147" s="4">
        <f>U147*S147</f>
        <v>0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45">
        <v>0.54166666666666663</v>
      </c>
      <c r="I148" s="44">
        <v>0.55208333333333337</v>
      </c>
      <c r="J148" s="9">
        <v>15</v>
      </c>
      <c r="K148" s="44"/>
      <c r="L148" s="45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9"/>
      <c r="T148" s="49">
        <v>27</v>
      </c>
      <c r="U148" s="9">
        <v>48</v>
      </c>
      <c r="V148" s="4">
        <f>T148*S148</f>
        <v>0</v>
      </c>
      <c r="W148" s="4">
        <f>U148*S148</f>
        <v>0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44">
        <v>0.60416666666666663</v>
      </c>
      <c r="J149" s="9">
        <v>60</v>
      </c>
      <c r="K149" s="44"/>
      <c r="L149" s="45">
        <v>0.5625</v>
      </c>
      <c r="M149" s="44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9"/>
      <c r="T149" s="49">
        <v>27</v>
      </c>
      <c r="U149" s="9">
        <v>48</v>
      </c>
      <c r="V149" s="4">
        <f>T149*S149</f>
        <v>0</v>
      </c>
      <c r="W149" s="4">
        <f>U149*S149</f>
        <v>0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45">
        <v>0.625</v>
      </c>
      <c r="I150" s="43">
        <v>0.66666666666666663</v>
      </c>
      <c r="J150" s="4">
        <v>60</v>
      </c>
      <c r="K150" s="43"/>
      <c r="L150" s="45">
        <v>0.625</v>
      </c>
      <c r="M150" s="43">
        <v>0.66666666666666663</v>
      </c>
      <c r="N150" s="4">
        <v>60</v>
      </c>
      <c r="O150" s="6" t="s">
        <v>693</v>
      </c>
      <c r="P150" s="4"/>
      <c r="Q150" s="4"/>
      <c r="R150" s="4"/>
      <c r="S150" s="4"/>
      <c r="T150" s="48">
        <v>27</v>
      </c>
      <c r="U150" s="4">
        <v>48</v>
      </c>
      <c r="V150" s="4">
        <f>T150*S150</f>
        <v>0</v>
      </c>
      <c r="W150" s="4">
        <f>U150*S150</f>
        <v>0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43">
        <v>0.58333333333333337</v>
      </c>
      <c r="I151" s="43">
        <v>0.60416666666666674</v>
      </c>
      <c r="J151" s="4">
        <v>30</v>
      </c>
      <c r="K151" s="43"/>
      <c r="L151" s="43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8">
        <v>35</v>
      </c>
      <c r="U151" s="4">
        <v>48</v>
      </c>
      <c r="V151" s="4">
        <f>T151*S151</f>
        <v>0</v>
      </c>
      <c r="W151" s="4">
        <f>U151*S151</f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8">
        <v>35</v>
      </c>
      <c r="U152" s="4">
        <v>48</v>
      </c>
      <c r="V152" s="4">
        <f>T152*S152</f>
        <v>0</v>
      </c>
      <c r="W152" s="4">
        <f>U152*S152</f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43">
        <v>0.64583333333333337</v>
      </c>
      <c r="J153" s="4">
        <v>30</v>
      </c>
      <c r="K153" s="43"/>
      <c r="L153" s="43">
        <v>0.625</v>
      </c>
      <c r="M153" s="43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8">
        <v>35</v>
      </c>
      <c r="U153" s="4">
        <v>48</v>
      </c>
      <c r="V153" s="4">
        <f>T153*S153</f>
        <v>0</v>
      </c>
      <c r="W153" s="4">
        <f>U153*S153</f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45">
        <v>0.45833333333333331</v>
      </c>
      <c r="I154" s="43">
        <v>0.47916666666666663</v>
      </c>
      <c r="J154" s="4">
        <v>30</v>
      </c>
      <c r="K154" s="43"/>
      <c r="L154" s="45">
        <v>0.45833333333333331</v>
      </c>
      <c r="M154" s="43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4"/>
      <c r="T154" s="4"/>
      <c r="U154" s="4">
        <v>48</v>
      </c>
      <c r="V154" s="4">
        <f>T154*S154</f>
        <v>0</v>
      </c>
      <c r="W154" s="4">
        <f>U154*S154</f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45">
        <v>0.375</v>
      </c>
      <c r="I155" s="43">
        <v>0.38541666666666669</v>
      </c>
      <c r="J155" s="4">
        <v>15</v>
      </c>
      <c r="K155" s="43"/>
      <c r="L155" s="45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4"/>
      <c r="T155" s="4"/>
      <c r="U155" s="4">
        <v>48</v>
      </c>
      <c r="V155" s="4">
        <f>T155*S155</f>
        <v>0</v>
      </c>
      <c r="W155" s="4">
        <f>U155*S155</f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4"/>
      <c r="T156" s="4"/>
      <c r="U156" s="4">
        <v>48</v>
      </c>
      <c r="V156" s="4">
        <f>T156*S156</f>
        <v>0</v>
      </c>
      <c r="W156" s="4">
        <f>U156*S156</f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43">
        <v>0.45833333333333331</v>
      </c>
      <c r="J157" s="4">
        <v>90</v>
      </c>
      <c r="K157" s="43"/>
      <c r="L157" s="45">
        <v>0.39583333333333331</v>
      </c>
      <c r="M157" s="43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4"/>
      <c r="T157" s="4"/>
      <c r="U157" s="4">
        <v>48</v>
      </c>
      <c r="V157" s="4">
        <f>T157*S157</f>
        <v>0</v>
      </c>
      <c r="W157" s="4">
        <f>U157*S157</f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46">
        <v>0.45833333333333331</v>
      </c>
      <c r="I158" s="46">
        <v>0.6875</v>
      </c>
      <c r="J158" s="21">
        <v>330</v>
      </c>
      <c r="K158" s="46"/>
      <c r="L158" s="46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51">
        <v>30</v>
      </c>
      <c r="U158" s="21">
        <v>48</v>
      </c>
      <c r="V158" s="4">
        <f>T158*S158</f>
        <v>0</v>
      </c>
      <c r="W158" s="4">
        <f>U158*S158</f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43">
        <v>0.69791666666666663</v>
      </c>
      <c r="J159" s="4">
        <v>15</v>
      </c>
      <c r="K159" s="43"/>
      <c r="L159" s="45">
        <v>0.6875</v>
      </c>
      <c r="M159" s="43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8">
        <v>30</v>
      </c>
      <c r="U159" s="4">
        <v>48</v>
      </c>
      <c r="V159" s="4">
        <f>T159*S159</f>
        <v>0</v>
      </c>
      <c r="W159" s="4">
        <f>U159*S159</f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43">
        <v>0.39583333333333331</v>
      </c>
      <c r="I160" s="43">
        <v>0.40625</v>
      </c>
      <c r="J160" s="4">
        <v>15</v>
      </c>
      <c r="K160" s="43"/>
      <c r="L160" s="43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4"/>
      <c r="T160" s="48">
        <v>25</v>
      </c>
      <c r="U160" s="4">
        <v>48</v>
      </c>
      <c r="V160" s="4">
        <f>T160*S160</f>
        <v>0</v>
      </c>
      <c r="W160" s="4">
        <f>U160*S160</f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4"/>
      <c r="R161" s="4"/>
      <c r="S161" s="4"/>
      <c r="T161" s="48">
        <v>25</v>
      </c>
      <c r="U161" s="4">
        <v>48</v>
      </c>
      <c r="V161" s="4">
        <f>T161*S161</f>
        <v>0</v>
      </c>
      <c r="W161" s="4">
        <f>U161*S161</f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4"/>
      <c r="R162" s="4"/>
      <c r="S162" s="4"/>
      <c r="T162" s="48">
        <v>25</v>
      </c>
      <c r="U162" s="4">
        <v>48</v>
      </c>
      <c r="V162" s="4">
        <f>T162*S162</f>
        <v>0</v>
      </c>
      <c r="W162" s="4">
        <f>U162*S162</f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8">
        <v>25</v>
      </c>
      <c r="U163" s="4">
        <v>48</v>
      </c>
      <c r="V163" s="4">
        <f>T163*S163</f>
        <v>0</v>
      </c>
      <c r="W163" s="4">
        <f>U163*S163</f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43">
        <v>0.60416666666666674</v>
      </c>
      <c r="J164" s="4">
        <v>30</v>
      </c>
      <c r="K164" s="43"/>
      <c r="L164" s="43">
        <v>0.58333333333333337</v>
      </c>
      <c r="M164" s="43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8">
        <v>25</v>
      </c>
      <c r="U164" s="4">
        <v>48</v>
      </c>
      <c r="V164" s="4">
        <f>T164*S164</f>
        <v>0</v>
      </c>
      <c r="W164" s="4">
        <f>U164*S164</f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43">
        <v>0.35416666666666669</v>
      </c>
      <c r="I165" s="43">
        <v>0.45833333333333331</v>
      </c>
      <c r="J165" s="4">
        <v>150</v>
      </c>
      <c r="K165" s="43"/>
      <c r="L165" s="43">
        <v>0.35416666666666669</v>
      </c>
      <c r="M165" s="43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8">
        <v>25</v>
      </c>
      <c r="U165" s="4">
        <v>48</v>
      </c>
      <c r="V165" s="4">
        <f>T165*S165</f>
        <v>0</v>
      </c>
      <c r="W165" s="4">
        <f>U165*S165</f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45">
        <v>0.52777777777777779</v>
      </c>
      <c r="I166" s="43">
        <v>0.63194444444444442</v>
      </c>
      <c r="J166" s="4">
        <v>150</v>
      </c>
      <c r="K166" s="43"/>
      <c r="L166" s="45">
        <v>0.52777777777777779</v>
      </c>
      <c r="M166" s="43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8">
        <v>25</v>
      </c>
      <c r="U166" s="4">
        <v>48</v>
      </c>
      <c r="V166" s="4">
        <f>T166*S166</f>
        <v>0</v>
      </c>
      <c r="W166" s="4">
        <f>U166*S166</f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43">
        <v>0.625</v>
      </c>
      <c r="I167" s="43">
        <v>0.63541666666666663</v>
      </c>
      <c r="J167" s="4">
        <v>15</v>
      </c>
      <c r="K167" s="43"/>
      <c r="L167" s="43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8">
        <v>27</v>
      </c>
      <c r="U167" s="4">
        <v>48</v>
      </c>
      <c r="V167" s="4">
        <f>T167*S167</f>
        <v>0</v>
      </c>
      <c r="W167" s="4">
        <f>U167*S167</f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43">
        <v>0.77083333333333326</v>
      </c>
      <c r="J168" s="4">
        <v>150</v>
      </c>
      <c r="K168" s="43"/>
      <c r="L168" s="43">
        <v>0.66666666666666663</v>
      </c>
      <c r="M168" s="43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8">
        <v>27</v>
      </c>
      <c r="U168" s="4">
        <v>48</v>
      </c>
      <c r="V168" s="4">
        <f>T168*S168</f>
        <v>0</v>
      </c>
      <c r="W168" s="4">
        <f>U168*S168</f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45">
        <v>0.41666666666666669</v>
      </c>
      <c r="I169" s="43">
        <v>0.45833333333333337</v>
      </c>
      <c r="J169" s="4">
        <v>60</v>
      </c>
      <c r="K169" s="43"/>
      <c r="L169" s="45">
        <v>0.41666666666666669</v>
      </c>
      <c r="M169" s="43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8">
        <v>27</v>
      </c>
      <c r="U169" s="4">
        <v>48</v>
      </c>
      <c r="V169" s="4">
        <f>T169*S169</f>
        <v>0</v>
      </c>
      <c r="W169" s="4">
        <f>U169*S169</f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43">
        <v>0.64583333333333337</v>
      </c>
      <c r="I170" s="43">
        <v>0.66666666666666674</v>
      </c>
      <c r="J170" s="4">
        <v>30</v>
      </c>
      <c r="K170" s="43"/>
      <c r="L170" s="43">
        <v>0.64583333333333337</v>
      </c>
      <c r="M170" s="43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8">
        <v>27</v>
      </c>
      <c r="U170" s="4">
        <v>48</v>
      </c>
      <c r="V170" s="4">
        <f>T170*S170</f>
        <v>0</v>
      </c>
      <c r="W170" s="4">
        <f>U170*S170</f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43">
        <v>0.5</v>
      </c>
      <c r="I171" s="43">
        <v>0.6875</v>
      </c>
      <c r="J171" s="4">
        <v>270</v>
      </c>
      <c r="K171" s="43"/>
      <c r="L171" s="43">
        <v>0.5</v>
      </c>
      <c r="M171" s="43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8">
        <v>27</v>
      </c>
      <c r="U171" s="4">
        <v>48</v>
      </c>
      <c r="V171" s="4">
        <f>T171*S171</f>
        <v>0</v>
      </c>
      <c r="W171" s="4">
        <f>U171*S171</f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43">
        <v>0.375</v>
      </c>
      <c r="I172" s="43">
        <v>0.39583333333333331</v>
      </c>
      <c r="J172" s="4">
        <v>30</v>
      </c>
      <c r="K172" s="43"/>
      <c r="L172" s="43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8">
        <v>27</v>
      </c>
      <c r="U172" s="4">
        <v>48</v>
      </c>
      <c r="V172" s="4">
        <f>T172*S172</f>
        <v>0</v>
      </c>
      <c r="W172" s="4">
        <f>U172*S172</f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8">
        <v>27</v>
      </c>
      <c r="U173" s="4">
        <v>48</v>
      </c>
      <c r="V173" s="4">
        <f>T173*S173</f>
        <v>0</v>
      </c>
      <c r="W173" s="4">
        <f>U173*S173</f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43">
        <v>0.5</v>
      </c>
      <c r="J174" s="4">
        <v>90</v>
      </c>
      <c r="K174" s="43"/>
      <c r="L174" s="43">
        <v>0.4375</v>
      </c>
      <c r="M174" s="43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8">
        <v>27</v>
      </c>
      <c r="U174" s="4">
        <v>48</v>
      </c>
      <c r="V174" s="4">
        <f>T174*S174</f>
        <v>0</v>
      </c>
      <c r="W174" s="4">
        <f>U174*S174</f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45">
        <v>0.55208333333333337</v>
      </c>
      <c r="I175" s="43">
        <v>0.5625</v>
      </c>
      <c r="J175" s="4">
        <v>15</v>
      </c>
      <c r="K175" s="43"/>
      <c r="L175" s="45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8">
        <v>27</v>
      </c>
      <c r="U175" s="4">
        <v>48</v>
      </c>
      <c r="V175" s="4">
        <f>T175*S175</f>
        <v>0</v>
      </c>
      <c r="W175" s="4">
        <f>U175*S175</f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43">
        <v>0.61111111111111105</v>
      </c>
      <c r="J176" s="4">
        <v>60</v>
      </c>
      <c r="K176" s="43"/>
      <c r="L176" s="45">
        <v>0.56944444444444442</v>
      </c>
      <c r="M176" s="43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8">
        <v>27</v>
      </c>
      <c r="U176" s="4">
        <v>48</v>
      </c>
      <c r="V176" s="4">
        <f>T176*S176</f>
        <v>0</v>
      </c>
      <c r="W176" s="4">
        <f>U176*S176</f>
        <v>0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45">
        <v>0.6875</v>
      </c>
      <c r="I177" s="43">
        <v>0.70833333333333337</v>
      </c>
      <c r="J177" s="4">
        <v>30</v>
      </c>
      <c r="K177" s="43"/>
      <c r="L177" s="45">
        <v>0.6875</v>
      </c>
      <c r="M177" s="43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4"/>
      <c r="T177" s="48">
        <v>35</v>
      </c>
      <c r="U177" s="4">
        <v>48</v>
      </c>
      <c r="V177" s="4">
        <f>T177*S177</f>
        <v>0</v>
      </c>
      <c r="W177" s="4">
        <f>U177*S177</f>
        <v>0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45">
        <v>0.29166666666666669</v>
      </c>
      <c r="I178" s="43">
        <v>0.30208333333333331</v>
      </c>
      <c r="J178" s="4">
        <v>15</v>
      </c>
      <c r="K178" s="43"/>
      <c r="L178" s="45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4"/>
      <c r="T178" s="48">
        <v>35</v>
      </c>
      <c r="U178" s="4">
        <v>48</v>
      </c>
      <c r="V178" s="4">
        <f>T178*S178</f>
        <v>0</v>
      </c>
      <c r="W178" s="4">
        <f>U178*S178</f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4"/>
      <c r="T179" s="48">
        <v>35</v>
      </c>
      <c r="U179" s="4">
        <v>48</v>
      </c>
      <c r="V179" s="4">
        <f>T179*S179</f>
        <v>0</v>
      </c>
      <c r="W179" s="4">
        <f>U179*S179</f>
        <v>0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43">
        <v>0.45833333333333331</v>
      </c>
      <c r="J180" s="4">
        <v>120</v>
      </c>
      <c r="K180" s="43"/>
      <c r="L180" s="45">
        <v>0.39583333333333331</v>
      </c>
      <c r="M180" s="43">
        <v>0.45833333333333331</v>
      </c>
      <c r="N180" s="4">
        <v>120</v>
      </c>
      <c r="O180" s="6" t="s">
        <v>115</v>
      </c>
      <c r="P180" s="4"/>
      <c r="Q180" s="4"/>
      <c r="R180" s="4"/>
      <c r="S180" s="4"/>
      <c r="T180" s="48">
        <v>35</v>
      </c>
      <c r="U180" s="4">
        <v>48</v>
      </c>
      <c r="V180" s="4">
        <f>T180*S180</f>
        <v>0</v>
      </c>
      <c r="W180" s="4">
        <f>U180*S180</f>
        <v>0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43">
        <v>0.54166666666666663</v>
      </c>
      <c r="I181" s="43">
        <v>0.5625</v>
      </c>
      <c r="J181" s="4">
        <v>30</v>
      </c>
      <c r="K181" s="43"/>
      <c r="L181" s="43">
        <v>0.54166666666666663</v>
      </c>
      <c r="M181" s="43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4"/>
      <c r="T181" s="48">
        <v>30</v>
      </c>
      <c r="U181" s="4">
        <v>48</v>
      </c>
      <c r="V181" s="4">
        <f>T181*S181</f>
        <v>0</v>
      </c>
      <c r="W181" s="4">
        <f>U181*S181</f>
        <v>0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43">
        <v>0.5</v>
      </c>
      <c r="I182" s="43">
        <v>0.6875</v>
      </c>
      <c r="J182" s="4">
        <v>270</v>
      </c>
      <c r="K182" s="43"/>
      <c r="L182" s="43">
        <v>0.5</v>
      </c>
      <c r="M182" s="43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4"/>
      <c r="T182" s="48">
        <v>30</v>
      </c>
      <c r="U182" s="4">
        <v>48</v>
      </c>
      <c r="V182" s="4">
        <f>T182*S182</f>
        <v>0</v>
      </c>
      <c r="W182" s="4">
        <f>U182*S182</f>
        <v>0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43">
        <v>0.46875</v>
      </c>
      <c r="I183" s="43">
        <v>0.5</v>
      </c>
      <c r="J183" s="4">
        <v>45</v>
      </c>
      <c r="K183" s="43"/>
      <c r="L183" s="43">
        <v>0.46875</v>
      </c>
      <c r="M183" s="43">
        <v>0.5</v>
      </c>
      <c r="N183" s="4">
        <v>45</v>
      </c>
      <c r="O183" s="6" t="s">
        <v>290</v>
      </c>
      <c r="P183" s="4"/>
      <c r="Q183" s="4"/>
      <c r="R183" s="4"/>
      <c r="S183" s="4"/>
      <c r="T183" s="48">
        <v>30</v>
      </c>
      <c r="U183" s="4">
        <v>48</v>
      </c>
      <c r="V183" s="4">
        <f>T183*S183</f>
        <v>0</v>
      </c>
      <c r="W183" s="4">
        <f>U183*S183</f>
        <v>0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45">
        <v>0.3125</v>
      </c>
      <c r="I184" s="43">
        <v>0.41666666666666669</v>
      </c>
      <c r="J184" s="4">
        <v>150</v>
      </c>
      <c r="K184" s="43"/>
      <c r="L184" s="45">
        <v>0.3125</v>
      </c>
      <c r="M184" s="43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4"/>
      <c r="T184" s="48">
        <v>30</v>
      </c>
      <c r="U184" s="4">
        <v>48</v>
      </c>
      <c r="V184" s="4">
        <f>T184*S184</f>
        <v>0</v>
      </c>
      <c r="W184" s="4">
        <f>U184*S184</f>
        <v>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43">
        <v>0.45833333333333331</v>
      </c>
      <c r="I185" s="43">
        <v>0.48958333333333331</v>
      </c>
      <c r="J185" s="4">
        <v>45</v>
      </c>
      <c r="K185" s="43"/>
      <c r="L185" s="43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4"/>
      <c r="T185" s="48">
        <v>30</v>
      </c>
      <c r="U185" s="4">
        <v>48</v>
      </c>
      <c r="V185" s="4">
        <f>T185*S185</f>
        <v>0</v>
      </c>
      <c r="W185" s="4">
        <f>U185*S185</f>
        <v>0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43">
        <v>0.58333333333333326</v>
      </c>
      <c r="J186" s="4">
        <v>60</v>
      </c>
      <c r="K186" s="43"/>
      <c r="L186" s="43">
        <v>0.54166666666666663</v>
      </c>
      <c r="M186" s="43">
        <v>0.58333333333333326</v>
      </c>
      <c r="N186" s="4">
        <v>60</v>
      </c>
      <c r="O186" s="4" t="s">
        <v>110</v>
      </c>
      <c r="P186" s="4" t="s">
        <v>221</v>
      </c>
      <c r="Q186" s="4"/>
      <c r="R186" s="4"/>
      <c r="S186" s="4"/>
      <c r="T186" s="48">
        <v>30</v>
      </c>
      <c r="U186" s="4">
        <v>48</v>
      </c>
      <c r="V186" s="4">
        <f>T186*S186</f>
        <v>0</v>
      </c>
      <c r="W186" s="4">
        <f>U186*S186</f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45">
        <v>0.70833333333333337</v>
      </c>
      <c r="I187" s="43">
        <v>0.75</v>
      </c>
      <c r="J187" s="4">
        <v>60</v>
      </c>
      <c r="K187" s="43"/>
      <c r="L187" s="45">
        <v>0.70833333333333337</v>
      </c>
      <c r="M187" s="43">
        <v>0.75</v>
      </c>
      <c r="N187" s="4">
        <v>60</v>
      </c>
      <c r="O187" s="6" t="s">
        <v>26</v>
      </c>
      <c r="P187" s="4"/>
      <c r="Q187" s="4"/>
      <c r="R187" s="4"/>
      <c r="S187" s="4"/>
      <c r="T187" s="48">
        <v>30</v>
      </c>
      <c r="U187" s="4">
        <v>48</v>
      </c>
      <c r="V187" s="4">
        <f>T187*S187</f>
        <v>0</v>
      </c>
      <c r="W187" s="4">
        <f>U187*S187</f>
        <v>0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45">
        <v>0.6875</v>
      </c>
      <c r="I188" s="43">
        <v>0.70833333333333337</v>
      </c>
      <c r="J188" s="4">
        <v>60</v>
      </c>
      <c r="K188" s="43"/>
      <c r="L188" s="45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4"/>
      <c r="T188" s="48">
        <v>30</v>
      </c>
      <c r="U188" s="4">
        <v>48</v>
      </c>
      <c r="V188" s="4">
        <f>T188*S188</f>
        <v>0</v>
      </c>
      <c r="W188" s="4">
        <f>U188*S188</f>
        <v>0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43">
        <v>0.83333333333333337</v>
      </c>
      <c r="J189" s="4">
        <v>90</v>
      </c>
      <c r="K189" s="43"/>
      <c r="L189" s="45">
        <v>0.77083333333333337</v>
      </c>
      <c r="M189" s="43">
        <v>0.83333333333333337</v>
      </c>
      <c r="N189" s="4">
        <v>90</v>
      </c>
      <c r="O189" s="6" t="s">
        <v>26</v>
      </c>
      <c r="P189" s="4" t="s">
        <v>711</v>
      </c>
      <c r="Q189" s="4"/>
      <c r="R189" s="4"/>
      <c r="S189" s="4"/>
      <c r="T189" s="48">
        <v>30</v>
      </c>
      <c r="U189" s="4">
        <v>48</v>
      </c>
      <c r="V189" s="4">
        <f>T189*S189</f>
        <v>0</v>
      </c>
      <c r="W189" s="4">
        <f>U189*S189</f>
        <v>0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45">
        <v>0.35416666666666669</v>
      </c>
      <c r="I190" s="43">
        <v>0.375</v>
      </c>
      <c r="J190" s="4">
        <v>30</v>
      </c>
      <c r="K190" s="43"/>
      <c r="L190" s="45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4"/>
      <c r="T190" s="48">
        <v>30</v>
      </c>
      <c r="U190" s="4">
        <v>48</v>
      </c>
      <c r="V190" s="4">
        <f>T190*S190</f>
        <v>0</v>
      </c>
      <c r="W190" s="4">
        <f>U190*S190</f>
        <v>0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43">
        <v>0.4375</v>
      </c>
      <c r="J191" s="4">
        <v>60</v>
      </c>
      <c r="K191" s="43"/>
      <c r="L191" s="45">
        <v>0.39583333333333331</v>
      </c>
      <c r="M191" s="43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4"/>
      <c r="T191" s="48">
        <v>30</v>
      </c>
      <c r="U191" s="4">
        <v>48</v>
      </c>
      <c r="V191" s="4">
        <f>T191*S191</f>
        <v>0</v>
      </c>
      <c r="W191" s="4">
        <f>U191*S191</f>
        <v>0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43">
        <v>0.39583333333333331</v>
      </c>
      <c r="I192" s="43">
        <v>0.40625</v>
      </c>
      <c r="J192" s="4">
        <v>15</v>
      </c>
      <c r="K192" s="43"/>
      <c r="L192" s="43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4"/>
      <c r="T192" s="48">
        <v>30</v>
      </c>
      <c r="U192" s="4">
        <v>48</v>
      </c>
      <c r="V192" s="4">
        <f>T192*S192</f>
        <v>0</v>
      </c>
      <c r="W192" s="4">
        <f>U192*S192</f>
        <v>0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4"/>
      <c r="T193" s="48">
        <v>30</v>
      </c>
      <c r="U193" s="4">
        <v>48</v>
      </c>
      <c r="V193" s="4">
        <f>T193*S193</f>
        <v>0</v>
      </c>
      <c r="W193" s="4">
        <f>U193*S193</f>
        <v>0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43">
        <v>0.4375</v>
      </c>
      <c r="J194" s="4">
        <v>15</v>
      </c>
      <c r="K194" s="43"/>
      <c r="L194" s="45">
        <v>0.42708333333333331</v>
      </c>
      <c r="M194" s="43">
        <v>0.4375</v>
      </c>
      <c r="N194" s="4">
        <v>15</v>
      </c>
      <c r="O194" s="6" t="s">
        <v>46</v>
      </c>
      <c r="P194" s="4" t="s">
        <v>47</v>
      </c>
      <c r="Q194" s="4"/>
      <c r="R194" s="4"/>
      <c r="S194" s="4"/>
      <c r="T194" s="48">
        <v>30</v>
      </c>
      <c r="U194" s="4">
        <v>48</v>
      </c>
      <c r="V194" s="4">
        <f>T194*S194</f>
        <v>0</v>
      </c>
      <c r="W194" s="4">
        <f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43">
        <v>0.5</v>
      </c>
      <c r="I195" s="43">
        <v>0.6875</v>
      </c>
      <c r="J195" s="4">
        <v>270</v>
      </c>
      <c r="K195" s="43"/>
      <c r="L195" s="43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4"/>
      <c r="T195" s="48">
        <v>30</v>
      </c>
      <c r="U195" s="4">
        <v>48</v>
      </c>
      <c r="V195" s="4">
        <f>T195*S195</f>
        <v>0</v>
      </c>
      <c r="W195" s="4">
        <f>U195*S195</f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43">
        <v>0.58333333333333337</v>
      </c>
      <c r="J196" s="4">
        <v>30</v>
      </c>
      <c r="K196" s="43"/>
      <c r="L196" s="43">
        <v>0.5625</v>
      </c>
      <c r="M196" s="43">
        <v>0.58333333333333337</v>
      </c>
      <c r="N196" s="4">
        <v>30</v>
      </c>
      <c r="O196" s="4" t="s">
        <v>110</v>
      </c>
      <c r="P196" s="4" t="s">
        <v>160</v>
      </c>
      <c r="Q196" s="4"/>
      <c r="R196" s="4"/>
      <c r="S196" s="4"/>
      <c r="T196" s="48">
        <v>30</v>
      </c>
      <c r="U196" s="4">
        <v>48</v>
      </c>
      <c r="V196" s="4">
        <f>T196*S196</f>
        <v>0</v>
      </c>
      <c r="W196" s="4">
        <f>U196*S196</f>
        <v>0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43">
        <v>0.4375</v>
      </c>
      <c r="I197" s="43">
        <v>0.45833333333333331</v>
      </c>
      <c r="J197" s="4">
        <v>30</v>
      </c>
      <c r="K197" s="43"/>
      <c r="L197" s="43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4"/>
      <c r="T197" s="48">
        <v>30</v>
      </c>
      <c r="U197" s="4">
        <v>48</v>
      </c>
      <c r="V197" s="4">
        <f>T197*S197</f>
        <v>0</v>
      </c>
      <c r="W197" s="4">
        <f>U197*S197</f>
        <v>0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4"/>
      <c r="T198" s="48">
        <v>30</v>
      </c>
      <c r="U198" s="4">
        <v>48</v>
      </c>
      <c r="V198" s="4">
        <f>T198*S198</f>
        <v>0</v>
      </c>
      <c r="W198" s="4">
        <f>U198*S198</f>
        <v>0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43">
        <v>0.73958333333333337</v>
      </c>
      <c r="J199" s="4">
        <v>15</v>
      </c>
      <c r="K199" s="43"/>
      <c r="L199" s="43">
        <v>0.72916666666666663</v>
      </c>
      <c r="M199" s="43">
        <v>0.73958333333333337</v>
      </c>
      <c r="N199" s="4">
        <v>15</v>
      </c>
      <c r="O199" s="4" t="s">
        <v>26</v>
      </c>
      <c r="P199" s="4"/>
      <c r="Q199" s="4"/>
      <c r="R199" s="4"/>
      <c r="S199" s="4"/>
      <c r="T199" s="48">
        <v>30</v>
      </c>
      <c r="U199" s="4">
        <v>48</v>
      </c>
      <c r="V199" s="4">
        <f>T199*S199</f>
        <v>0</v>
      </c>
      <c r="W199" s="4">
        <f>U199*S199</f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43">
        <v>0.35416666666666669</v>
      </c>
      <c r="I200" s="43">
        <v>0.45833333333333331</v>
      </c>
      <c r="J200" s="4">
        <v>150</v>
      </c>
      <c r="K200" s="43"/>
      <c r="L200" s="43">
        <v>0.35416666666666669</v>
      </c>
      <c r="M200" s="43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"/>
      <c r="U200" s="4">
        <v>48</v>
      </c>
      <c r="V200" s="4">
        <f>T200*S200</f>
        <v>0</v>
      </c>
      <c r="W200" s="4">
        <f>U200*S200</f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45">
        <v>0.5625</v>
      </c>
      <c r="I201" s="43">
        <v>0.58333333333333337</v>
      </c>
      <c r="J201" s="4">
        <v>30</v>
      </c>
      <c r="K201" s="43"/>
      <c r="L201" s="45">
        <v>0.5625</v>
      </c>
      <c r="M201" s="43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8">
        <v>40</v>
      </c>
      <c r="U201" s="4">
        <v>48</v>
      </c>
      <c r="V201" s="4">
        <f>T201*S201</f>
        <v>0</v>
      </c>
      <c r="W201" s="4">
        <f>U201*S201</f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45">
        <v>0.375</v>
      </c>
      <c r="I202" s="43">
        <v>0.41666666666666669</v>
      </c>
      <c r="J202" s="4">
        <v>60</v>
      </c>
      <c r="K202" s="43"/>
      <c r="L202" s="45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8">
        <v>30</v>
      </c>
      <c r="U202" s="4">
        <v>48</v>
      </c>
      <c r="V202" s="4">
        <f>T202*S202</f>
        <v>0</v>
      </c>
      <c r="W202" s="4">
        <f>U202*S202</f>
        <v>0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43">
        <v>0.52083333333333337</v>
      </c>
      <c r="J203" s="4">
        <v>150</v>
      </c>
      <c r="K203" s="43"/>
      <c r="L203" s="45">
        <v>0.41666666666666669</v>
      </c>
      <c r="M203" s="43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4"/>
      <c r="T203" s="48">
        <v>30</v>
      </c>
      <c r="U203" s="4">
        <v>48</v>
      </c>
      <c r="V203" s="4">
        <f>T203*S203</f>
        <v>0</v>
      </c>
      <c r="W203" s="4">
        <f>U203*S203</f>
        <v>0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45">
        <v>0.66666666666666663</v>
      </c>
      <c r="I204" s="43">
        <v>0.6875</v>
      </c>
      <c r="J204" s="4">
        <v>30</v>
      </c>
      <c r="K204" s="43"/>
      <c r="L204" s="45">
        <v>0.66666666666666663</v>
      </c>
      <c r="M204" s="43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4"/>
      <c r="T204" s="48">
        <v>30</v>
      </c>
      <c r="U204" s="4">
        <v>48</v>
      </c>
      <c r="V204" s="4">
        <f>T204*S204</f>
        <v>0</v>
      </c>
      <c r="W204" s="4">
        <f>U204*S204</f>
        <v>0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45">
        <v>0.41666666666666669</v>
      </c>
      <c r="I205" s="43">
        <v>0.42708333333333337</v>
      </c>
      <c r="J205" s="4">
        <v>15</v>
      </c>
      <c r="K205" s="43"/>
      <c r="L205" s="45">
        <v>0.41666666666666669</v>
      </c>
      <c r="M205" s="43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8">
        <v>30</v>
      </c>
      <c r="U205" s="4">
        <v>48</v>
      </c>
      <c r="V205" s="4">
        <f>T205*S205</f>
        <v>0</v>
      </c>
      <c r="W205" s="4">
        <f>U205*S205</f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45">
        <v>0.5625</v>
      </c>
      <c r="I206" s="43">
        <v>0.58333333333333337</v>
      </c>
      <c r="J206" s="4">
        <v>30</v>
      </c>
      <c r="K206" s="43"/>
      <c r="L206" s="45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8">
        <v>32</v>
      </c>
      <c r="U206" s="4">
        <v>48</v>
      </c>
      <c r="V206" s="4">
        <f>T206*S206</f>
        <v>0</v>
      </c>
      <c r="W206" s="4">
        <f>U206*S206</f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43">
        <v>0.8125</v>
      </c>
      <c r="J207" s="4">
        <v>300</v>
      </c>
      <c r="K207" s="43"/>
      <c r="L207" s="45">
        <v>0.60416666666666663</v>
      </c>
      <c r="M207" s="43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8">
        <v>32</v>
      </c>
      <c r="U207" s="4">
        <v>48</v>
      </c>
      <c r="V207" s="4">
        <f>T207*S207</f>
        <v>0</v>
      </c>
      <c r="W207" s="4">
        <f>U207*S207</f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43">
        <v>0.45833333333333331</v>
      </c>
      <c r="I208" s="43">
        <v>0.5</v>
      </c>
      <c r="J208" s="4">
        <v>60</v>
      </c>
      <c r="K208" s="43"/>
      <c r="L208" s="43">
        <v>0.45833333333333331</v>
      </c>
      <c r="M208" s="43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4"/>
      <c r="T208" s="48">
        <v>32</v>
      </c>
      <c r="U208" s="4">
        <v>48</v>
      </c>
      <c r="V208" s="4">
        <f>T208*S208</f>
        <v>0</v>
      </c>
      <c r="W208" s="4">
        <f>U208*S208</f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45">
        <v>0.41666666666666669</v>
      </c>
      <c r="I209" s="43">
        <v>0.45833333333333337</v>
      </c>
      <c r="J209" s="4">
        <v>60</v>
      </c>
      <c r="K209" s="43"/>
      <c r="L209" s="45">
        <v>0.41666666666666669</v>
      </c>
      <c r="M209" s="43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4"/>
      <c r="T209" s="48">
        <v>32</v>
      </c>
      <c r="U209" s="4">
        <v>48</v>
      </c>
      <c r="V209" s="4">
        <f>T209*S209</f>
        <v>0</v>
      </c>
      <c r="W209" s="4">
        <f>U209*S209</f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45">
        <v>0.41666666666666669</v>
      </c>
      <c r="I210" s="43">
        <v>0.4375</v>
      </c>
      <c r="J210" s="4">
        <v>30</v>
      </c>
      <c r="K210" s="43"/>
      <c r="L210" s="45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8">
        <v>38</v>
      </c>
      <c r="U210" s="4">
        <v>48</v>
      </c>
      <c r="V210" s="4">
        <f>T210*S210</f>
        <v>0</v>
      </c>
      <c r="W210" s="4">
        <f>U210*S210</f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43">
        <v>0.58333333333333337</v>
      </c>
      <c r="J211" s="4">
        <v>150</v>
      </c>
      <c r="K211" s="43"/>
      <c r="L211" s="45">
        <v>0.47916666666666669</v>
      </c>
      <c r="M211" s="43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8">
        <v>38</v>
      </c>
      <c r="U211" s="4">
        <v>48</v>
      </c>
      <c r="V211" s="4">
        <f>T211*S211</f>
        <v>0</v>
      </c>
      <c r="W211" s="4">
        <f>U211*S211</f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45">
        <v>0.625</v>
      </c>
      <c r="I212" s="43">
        <v>0.64583333333333337</v>
      </c>
      <c r="J212" s="4">
        <v>30</v>
      </c>
      <c r="K212" s="43"/>
      <c r="L212" s="45">
        <v>0.625</v>
      </c>
      <c r="M212" s="43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8">
        <v>38</v>
      </c>
      <c r="U212" s="4">
        <v>48</v>
      </c>
      <c r="V212" s="4">
        <f>T212*S212</f>
        <v>0</v>
      </c>
      <c r="W212" s="4">
        <f>U212*S212</f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45">
        <v>0.64583333333333337</v>
      </c>
      <c r="I213" s="43">
        <v>0.66666666666666674</v>
      </c>
      <c r="J213" s="4">
        <v>30</v>
      </c>
      <c r="K213" s="43"/>
      <c r="L213" s="45">
        <v>0.64583333333333337</v>
      </c>
      <c r="M213" s="43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8">
        <v>38</v>
      </c>
      <c r="U213" s="4">
        <v>48</v>
      </c>
      <c r="V213" s="4">
        <f>T213*S213</f>
        <v>0</v>
      </c>
      <c r="W213" s="4">
        <f>U213*S213</f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45">
        <v>0.39583333333333331</v>
      </c>
      <c r="I214" s="43">
        <v>0.41666666666666663</v>
      </c>
      <c r="J214" s="4">
        <v>30</v>
      </c>
      <c r="K214" s="43"/>
      <c r="L214" s="45">
        <v>0.39583333333333331</v>
      </c>
      <c r="M214" s="43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8">
        <v>25</v>
      </c>
      <c r="U214" s="4">
        <v>48</v>
      </c>
      <c r="V214" s="4">
        <f>T214*S214</f>
        <v>0</v>
      </c>
      <c r="W214" s="4">
        <f>U214*S214</f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45">
        <v>0.41666666666666669</v>
      </c>
      <c r="I215" s="43">
        <v>0.4375</v>
      </c>
      <c r="J215" s="4">
        <v>30</v>
      </c>
      <c r="K215" s="43"/>
      <c r="L215" s="45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8">
        <v>30</v>
      </c>
      <c r="U215" s="4">
        <v>48</v>
      </c>
      <c r="V215" s="4">
        <f>T215*S215</f>
        <v>0</v>
      </c>
      <c r="W215" s="4">
        <f>U215*S215</f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43">
        <v>0.54166666666666674</v>
      </c>
      <c r="J216" s="4">
        <v>90</v>
      </c>
      <c r="K216" s="43"/>
      <c r="L216" s="45">
        <v>0.47916666666666669</v>
      </c>
      <c r="M216" s="43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8">
        <v>30</v>
      </c>
      <c r="U216" s="4">
        <v>48</v>
      </c>
      <c r="V216" s="4">
        <f>T216*S216</f>
        <v>0</v>
      </c>
      <c r="W216" s="4">
        <f>U216*S216</f>
        <v>0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216"/>
  <sheetViews>
    <sheetView topLeftCell="E46"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812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52">
        <v>0.58333333333333337</v>
      </c>
      <c r="I2" s="56">
        <v>0.61458333333333337</v>
      </c>
      <c r="J2" s="4">
        <v>45</v>
      </c>
      <c r="K2" s="43"/>
      <c r="L2" s="52">
        <v>0.58333333333333337</v>
      </c>
      <c r="M2" s="56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50">
        <v>1</v>
      </c>
      <c r="T2" s="48">
        <v>30</v>
      </c>
      <c r="U2" s="4">
        <v>48</v>
      </c>
      <c r="V2" s="4">
        <f t="shared" ref="V2:V65" si="0">T2*S2</f>
        <v>30</v>
      </c>
      <c r="W2" s="4">
        <f t="shared" ref="W2:W65" si="1">U2*S2</f>
        <v>48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54">
        <v>0.5625</v>
      </c>
      <c r="I3" s="58">
        <v>0.57291666666666663</v>
      </c>
      <c r="J3" s="9">
        <v>15</v>
      </c>
      <c r="K3" s="44"/>
      <c r="L3" s="54">
        <v>0.5625</v>
      </c>
      <c r="M3" s="58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57">
        <v>1</v>
      </c>
      <c r="T3" s="49">
        <v>30</v>
      </c>
      <c r="U3" s="9">
        <v>48</v>
      </c>
      <c r="V3" s="4">
        <f t="shared" si="0"/>
        <v>30</v>
      </c>
      <c r="W3" s="4">
        <f t="shared" si="1"/>
        <v>48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52">
        <v>0.39583333333333331</v>
      </c>
      <c r="I4" s="56">
        <v>0.41666666666666663</v>
      </c>
      <c r="J4" s="4">
        <v>30</v>
      </c>
      <c r="K4" s="43"/>
      <c r="L4" s="52">
        <v>0.39583333333333331</v>
      </c>
      <c r="M4" s="56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50">
        <v>1</v>
      </c>
      <c r="T4" s="48">
        <v>30</v>
      </c>
      <c r="U4" s="4">
        <v>48</v>
      </c>
      <c r="V4" s="4">
        <f t="shared" si="0"/>
        <v>30</v>
      </c>
      <c r="W4" s="4">
        <f t="shared" si="1"/>
        <v>48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52">
        <v>0.5625</v>
      </c>
      <c r="I5" s="56">
        <v>0.72916666666666663</v>
      </c>
      <c r="J5" s="4">
        <v>240</v>
      </c>
      <c r="K5" s="43"/>
      <c r="L5" s="52">
        <v>0.5625</v>
      </c>
      <c r="M5" s="56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50">
        <v>4</v>
      </c>
      <c r="T5" s="48">
        <v>30</v>
      </c>
      <c r="U5" s="4">
        <v>48</v>
      </c>
      <c r="V5" s="4">
        <f t="shared" si="0"/>
        <v>120</v>
      </c>
      <c r="W5" s="4">
        <f t="shared" si="1"/>
        <v>192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52">
        <v>0.47916666666666669</v>
      </c>
      <c r="I6" s="43">
        <v>0.49305555555555558</v>
      </c>
      <c r="J6" s="4">
        <v>20</v>
      </c>
      <c r="K6" s="43"/>
      <c r="L6" s="52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53">
        <v>0.5</v>
      </c>
      <c r="T6" s="48">
        <v>30</v>
      </c>
      <c r="U6" s="4">
        <v>48</v>
      </c>
      <c r="V6" s="4">
        <f t="shared" si="0"/>
        <v>15</v>
      </c>
      <c r="W6" s="4">
        <f t="shared" si="1"/>
        <v>24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56">
        <v>0.51388888888888884</v>
      </c>
      <c r="J7" s="4">
        <v>20</v>
      </c>
      <c r="K7" s="43"/>
      <c r="L7" s="45">
        <v>0.5</v>
      </c>
      <c r="M7" s="56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50">
        <v>1</v>
      </c>
      <c r="T7" s="48">
        <v>30</v>
      </c>
      <c r="U7" s="4">
        <v>48</v>
      </c>
      <c r="V7" s="4">
        <f t="shared" si="0"/>
        <v>30</v>
      </c>
      <c r="W7" s="4">
        <f t="shared" si="1"/>
        <v>48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52">
        <v>0.45833333333333331</v>
      </c>
      <c r="I8" s="56">
        <v>0.47916666666666663</v>
      </c>
      <c r="J8" s="4">
        <v>30</v>
      </c>
      <c r="K8" s="43"/>
      <c r="L8" s="52">
        <v>0.45833333333333331</v>
      </c>
      <c r="M8" s="56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50">
        <v>1</v>
      </c>
      <c r="T8" s="48">
        <v>30</v>
      </c>
      <c r="U8" s="4">
        <v>48</v>
      </c>
      <c r="V8" s="4">
        <f t="shared" si="0"/>
        <v>30</v>
      </c>
      <c r="W8" s="4">
        <f t="shared" si="1"/>
        <v>48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52">
        <v>0.375</v>
      </c>
      <c r="I9" s="43">
        <v>0.41666666666666669</v>
      </c>
      <c r="J9" s="4">
        <v>60</v>
      </c>
      <c r="K9" s="43"/>
      <c r="L9" s="52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53">
        <v>1</v>
      </c>
      <c r="T9" s="48">
        <v>30</v>
      </c>
      <c r="U9" s="4">
        <v>48</v>
      </c>
      <c r="V9" s="4">
        <f t="shared" si="0"/>
        <v>30</v>
      </c>
      <c r="W9" s="4">
        <f t="shared" si="1"/>
        <v>48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56">
        <v>0.45833333333333337</v>
      </c>
      <c r="J10" s="4">
        <v>60</v>
      </c>
      <c r="K10" s="43"/>
      <c r="L10" s="43">
        <v>0.41666666666666669</v>
      </c>
      <c r="M10" s="56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50">
        <v>2</v>
      </c>
      <c r="T10" s="48">
        <v>30</v>
      </c>
      <c r="U10" s="4">
        <v>48</v>
      </c>
      <c r="V10" s="4">
        <f t="shared" si="0"/>
        <v>60</v>
      </c>
      <c r="W10" s="4">
        <f t="shared" si="1"/>
        <v>96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52">
        <v>0.53125</v>
      </c>
      <c r="I11" s="43">
        <v>0.58333333333333337</v>
      </c>
      <c r="J11" s="4">
        <v>75</v>
      </c>
      <c r="K11" s="43"/>
      <c r="L11" s="52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53">
        <v>1.25</v>
      </c>
      <c r="T11" s="48">
        <v>30</v>
      </c>
      <c r="U11" s="4">
        <v>48</v>
      </c>
      <c r="V11" s="4">
        <f t="shared" si="0"/>
        <v>37.5</v>
      </c>
      <c r="W11" s="4">
        <f t="shared" si="1"/>
        <v>60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56">
        <v>0.625</v>
      </c>
      <c r="J12" s="4">
        <v>60</v>
      </c>
      <c r="K12" s="43"/>
      <c r="L12" s="43">
        <v>0.58333333333333337</v>
      </c>
      <c r="M12" s="56">
        <v>0.625</v>
      </c>
      <c r="N12" s="4">
        <v>60</v>
      </c>
      <c r="O12" s="4" t="s">
        <v>167</v>
      </c>
      <c r="P12" s="4"/>
      <c r="Q12" s="4"/>
      <c r="R12" s="4"/>
      <c r="S12" s="50">
        <v>2.25</v>
      </c>
      <c r="T12" s="48">
        <v>30</v>
      </c>
      <c r="U12" s="4">
        <v>48</v>
      </c>
      <c r="V12" s="4">
        <f t="shared" si="0"/>
        <v>67.5</v>
      </c>
      <c r="W12" s="4">
        <f t="shared" si="1"/>
        <v>108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52">
        <v>0.40277777777777773</v>
      </c>
      <c r="I13" s="56">
        <v>0.42361111111111105</v>
      </c>
      <c r="J13" s="4">
        <v>30</v>
      </c>
      <c r="K13" s="43"/>
      <c r="L13" s="52">
        <v>0.40277777777777773</v>
      </c>
      <c r="M13" s="56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50">
        <v>1</v>
      </c>
      <c r="T13" s="48">
        <v>30</v>
      </c>
      <c r="U13" s="4">
        <v>48</v>
      </c>
      <c r="V13" s="4">
        <f t="shared" si="0"/>
        <v>30</v>
      </c>
      <c r="W13" s="4">
        <f t="shared" si="1"/>
        <v>48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52">
        <v>0.6875</v>
      </c>
      <c r="I14" s="56">
        <v>0.70833333333333337</v>
      </c>
      <c r="J14" s="4">
        <v>30</v>
      </c>
      <c r="K14" s="43"/>
      <c r="L14" s="52">
        <v>0.6875</v>
      </c>
      <c r="M14" s="56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50">
        <v>1</v>
      </c>
      <c r="T14" s="48">
        <v>32</v>
      </c>
      <c r="U14" s="4">
        <v>48</v>
      </c>
      <c r="V14" s="4">
        <f t="shared" si="0"/>
        <v>32</v>
      </c>
      <c r="W14" s="4">
        <f t="shared" si="1"/>
        <v>48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52">
        <v>0.63541666666666663</v>
      </c>
      <c r="I15" s="56">
        <v>0.65625</v>
      </c>
      <c r="J15" s="4">
        <v>45</v>
      </c>
      <c r="K15" s="43"/>
      <c r="L15" s="52">
        <v>0.63541666666666663</v>
      </c>
      <c r="M15" s="56">
        <v>0.65625</v>
      </c>
      <c r="N15" s="4">
        <v>45</v>
      </c>
      <c r="O15" s="6" t="s">
        <v>695</v>
      </c>
      <c r="P15" s="4"/>
      <c r="Q15" s="4"/>
      <c r="R15" s="4"/>
      <c r="S15" s="50">
        <v>1</v>
      </c>
      <c r="T15" s="48">
        <v>32</v>
      </c>
      <c r="U15" s="4">
        <v>48</v>
      </c>
      <c r="V15" s="4">
        <f t="shared" si="0"/>
        <v>32</v>
      </c>
      <c r="W15" s="4">
        <f t="shared" si="1"/>
        <v>48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52">
        <v>0.33333333333333331</v>
      </c>
      <c r="I16" s="56">
        <v>0.35416666666666663</v>
      </c>
      <c r="J16" s="4">
        <v>30</v>
      </c>
      <c r="K16" s="43"/>
      <c r="L16" s="52">
        <v>0.33333333333333331</v>
      </c>
      <c r="M16" s="56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50">
        <v>1</v>
      </c>
      <c r="T16" s="48">
        <v>32</v>
      </c>
      <c r="U16" s="4">
        <v>48</v>
      </c>
      <c r="V16" s="4">
        <f t="shared" si="0"/>
        <v>32</v>
      </c>
      <c r="W16" s="4">
        <f t="shared" si="1"/>
        <v>48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52">
        <v>0.36458333333333331</v>
      </c>
      <c r="I17" s="43">
        <v>0.375</v>
      </c>
      <c r="J17" s="4">
        <v>15</v>
      </c>
      <c r="K17" s="43"/>
      <c r="L17" s="52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53">
        <v>0.25</v>
      </c>
      <c r="T17" s="48">
        <v>32</v>
      </c>
      <c r="U17" s="4">
        <v>48</v>
      </c>
      <c r="V17" s="4">
        <f t="shared" si="0"/>
        <v>8</v>
      </c>
      <c r="W17" s="4">
        <f t="shared" si="1"/>
        <v>12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59" t="s">
        <v>809</v>
      </c>
      <c r="R18" s="4"/>
      <c r="S18" s="53">
        <v>0.5</v>
      </c>
      <c r="T18" s="48">
        <v>32</v>
      </c>
      <c r="U18" s="4">
        <v>48</v>
      </c>
      <c r="V18" s="4">
        <f t="shared" si="0"/>
        <v>16</v>
      </c>
      <c r="W18" s="4">
        <f t="shared" si="1"/>
        <v>24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56">
        <v>0.4236111111111111</v>
      </c>
      <c r="J19" s="4">
        <v>40</v>
      </c>
      <c r="K19" s="43"/>
      <c r="L19" s="45">
        <v>0.39583333333333331</v>
      </c>
      <c r="M19" s="56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50">
        <v>0.75</v>
      </c>
      <c r="T19" s="48">
        <v>32</v>
      </c>
      <c r="U19" s="4">
        <v>48</v>
      </c>
      <c r="V19" s="4">
        <f t="shared" si="0"/>
        <v>24</v>
      </c>
      <c r="W19" s="4">
        <f t="shared" si="1"/>
        <v>36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52">
        <v>0.5</v>
      </c>
      <c r="I20" s="43">
        <v>0.51041666666666663</v>
      </c>
      <c r="J20" s="4">
        <v>15</v>
      </c>
      <c r="K20" s="43"/>
      <c r="L20" s="52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53">
        <v>0.25</v>
      </c>
      <c r="T20" s="48">
        <v>32</v>
      </c>
      <c r="U20" s="4">
        <v>48</v>
      </c>
      <c r="V20" s="4">
        <f t="shared" si="0"/>
        <v>8</v>
      </c>
      <c r="W20" s="4">
        <f t="shared" si="1"/>
        <v>12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53">
        <v>0</v>
      </c>
      <c r="T21" s="48">
        <v>32</v>
      </c>
      <c r="U21" s="4">
        <v>48</v>
      </c>
      <c r="V21" s="4">
        <f t="shared" si="0"/>
        <v>0</v>
      </c>
      <c r="W21" s="4">
        <f t="shared" si="1"/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56">
        <v>0.54861111111111116</v>
      </c>
      <c r="J22" s="4">
        <v>40</v>
      </c>
      <c r="K22" s="43"/>
      <c r="L22" s="43">
        <v>0.52777777777777779</v>
      </c>
      <c r="M22" s="56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50">
        <v>1.25</v>
      </c>
      <c r="T22" s="48">
        <v>32</v>
      </c>
      <c r="U22" s="4">
        <v>48</v>
      </c>
      <c r="V22" s="4">
        <f t="shared" si="0"/>
        <v>40</v>
      </c>
      <c r="W22" s="4">
        <f t="shared" si="1"/>
        <v>60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52">
        <v>0.55208333333333337</v>
      </c>
      <c r="I23" s="56">
        <v>0.5625</v>
      </c>
      <c r="J23" s="4">
        <v>15</v>
      </c>
      <c r="K23" s="43"/>
      <c r="L23" s="52">
        <v>0.55208333333333337</v>
      </c>
      <c r="M23" s="56">
        <v>0.5625</v>
      </c>
      <c r="N23" s="4">
        <v>15</v>
      </c>
      <c r="O23" s="4" t="s">
        <v>107</v>
      </c>
      <c r="P23" s="4" t="s">
        <v>523</v>
      </c>
      <c r="Q23" s="4"/>
      <c r="R23" s="4"/>
      <c r="S23" s="50">
        <v>1</v>
      </c>
      <c r="T23" s="48">
        <v>32</v>
      </c>
      <c r="U23" s="4">
        <v>48</v>
      </c>
      <c r="V23" s="4">
        <f t="shared" si="0"/>
        <v>32</v>
      </c>
      <c r="W23" s="4">
        <f t="shared" si="1"/>
        <v>48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52">
        <v>0.4375</v>
      </c>
      <c r="I24" s="43">
        <v>0.45833333333333331</v>
      </c>
      <c r="J24" s="4">
        <v>30</v>
      </c>
      <c r="K24" s="43"/>
      <c r="L24" s="52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53">
        <v>0.5</v>
      </c>
      <c r="T24" s="48">
        <v>32</v>
      </c>
      <c r="U24" s="4">
        <v>48</v>
      </c>
      <c r="V24" s="4">
        <f t="shared" si="0"/>
        <v>16</v>
      </c>
      <c r="W24" s="4">
        <f t="shared" si="1"/>
        <v>24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56">
        <v>0.5</v>
      </c>
      <c r="J25" s="4">
        <v>45</v>
      </c>
      <c r="K25" s="43"/>
      <c r="L25" s="43">
        <v>0.46875</v>
      </c>
      <c r="M25" s="56">
        <v>0.5</v>
      </c>
      <c r="N25" s="4">
        <v>45</v>
      </c>
      <c r="O25" s="4" t="s">
        <v>82</v>
      </c>
      <c r="P25" s="4" t="s">
        <v>83</v>
      </c>
      <c r="Q25" s="4"/>
      <c r="R25" s="4"/>
      <c r="S25" s="50">
        <v>1.5</v>
      </c>
      <c r="T25" s="48">
        <v>32</v>
      </c>
      <c r="U25" s="4">
        <v>48</v>
      </c>
      <c r="V25" s="4">
        <f t="shared" si="0"/>
        <v>48</v>
      </c>
      <c r="W25" s="4">
        <f t="shared" si="1"/>
        <v>72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52">
        <v>0.54166666666666663</v>
      </c>
      <c r="I26" s="56">
        <v>0.57638888888888895</v>
      </c>
      <c r="J26" s="4">
        <v>50</v>
      </c>
      <c r="K26" s="43"/>
      <c r="L26" s="52">
        <v>0.54166666666666663</v>
      </c>
      <c r="M26" s="56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50">
        <v>1</v>
      </c>
      <c r="T26" s="48">
        <v>32</v>
      </c>
      <c r="U26" s="4">
        <v>48</v>
      </c>
      <c r="V26" s="4">
        <f t="shared" si="0"/>
        <v>32</v>
      </c>
      <c r="W26" s="4">
        <f t="shared" si="1"/>
        <v>48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52">
        <v>0.39583333333333331</v>
      </c>
      <c r="I27" s="43">
        <v>0.41666666666666663</v>
      </c>
      <c r="J27" s="4">
        <v>30</v>
      </c>
      <c r="K27" s="43"/>
      <c r="L27" s="52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53">
        <v>0.5</v>
      </c>
      <c r="T27" s="48">
        <v>32</v>
      </c>
      <c r="U27" s="4">
        <v>48</v>
      </c>
      <c r="V27" s="4">
        <f t="shared" si="0"/>
        <v>16</v>
      </c>
      <c r="W27" s="4">
        <f t="shared" si="1"/>
        <v>24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56">
        <v>0.45833333333333337</v>
      </c>
      <c r="J28" s="4">
        <v>60</v>
      </c>
      <c r="K28" s="43"/>
      <c r="L28" s="45">
        <v>0.41666666666666669</v>
      </c>
      <c r="M28" s="56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50">
        <v>1.5</v>
      </c>
      <c r="T28" s="48">
        <v>32</v>
      </c>
      <c r="U28" s="4">
        <v>48</v>
      </c>
      <c r="V28" s="4">
        <f t="shared" si="0"/>
        <v>48</v>
      </c>
      <c r="W28" s="4">
        <f t="shared" si="1"/>
        <v>72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52">
        <v>0.47916666666666669</v>
      </c>
      <c r="I29" s="56">
        <v>0.5</v>
      </c>
      <c r="J29" s="4">
        <v>30</v>
      </c>
      <c r="K29" s="43"/>
      <c r="L29" s="52">
        <v>0.47916666666666669</v>
      </c>
      <c r="M29" s="56">
        <v>0.5</v>
      </c>
      <c r="N29" s="4">
        <v>30</v>
      </c>
      <c r="O29" s="4" t="s">
        <v>156</v>
      </c>
      <c r="P29" s="4" t="s">
        <v>269</v>
      </c>
      <c r="Q29" s="4"/>
      <c r="R29" s="4"/>
      <c r="S29" s="50">
        <v>1</v>
      </c>
      <c r="T29" s="48">
        <v>32</v>
      </c>
      <c r="U29" s="4">
        <v>48</v>
      </c>
      <c r="V29" s="4">
        <f t="shared" si="0"/>
        <v>32</v>
      </c>
      <c r="W29" s="4">
        <f t="shared" si="1"/>
        <v>48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52">
        <v>0.60416666666666663</v>
      </c>
      <c r="I30" s="43">
        <v>0.625</v>
      </c>
      <c r="J30" s="4">
        <v>30</v>
      </c>
      <c r="K30" s="43"/>
      <c r="L30" s="52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53">
        <v>0.5</v>
      </c>
      <c r="T30" s="48">
        <v>32</v>
      </c>
      <c r="U30" s="4">
        <v>48</v>
      </c>
      <c r="V30" s="4">
        <f t="shared" si="0"/>
        <v>16</v>
      </c>
      <c r="W30" s="4">
        <f t="shared" si="1"/>
        <v>24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56">
        <v>0.70833333333333337</v>
      </c>
      <c r="J31" s="4">
        <v>90</v>
      </c>
      <c r="K31" s="43"/>
      <c r="L31" s="45">
        <v>0.64583333333333337</v>
      </c>
      <c r="M31" s="56">
        <v>0.70833333333333337</v>
      </c>
      <c r="N31" s="4">
        <v>90</v>
      </c>
      <c r="O31" s="6" t="s">
        <v>26</v>
      </c>
      <c r="P31" s="4" t="s">
        <v>376</v>
      </c>
      <c r="Q31" s="59" t="s">
        <v>809</v>
      </c>
      <c r="R31" s="4"/>
      <c r="S31" s="50">
        <v>2.5</v>
      </c>
      <c r="T31" s="48">
        <v>32</v>
      </c>
      <c r="U31" s="4">
        <v>48</v>
      </c>
      <c r="V31" s="4">
        <f t="shared" si="0"/>
        <v>80</v>
      </c>
      <c r="W31" s="4">
        <f t="shared" si="1"/>
        <v>120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52">
        <v>0.64583333333333337</v>
      </c>
      <c r="I32" s="56">
        <v>0.6875</v>
      </c>
      <c r="J32" s="4">
        <v>60</v>
      </c>
      <c r="K32" s="43"/>
      <c r="L32" s="52">
        <v>0.64583333333333337</v>
      </c>
      <c r="M32" s="56">
        <v>0.6875</v>
      </c>
      <c r="N32" s="4">
        <v>60</v>
      </c>
      <c r="O32" s="6" t="s">
        <v>120</v>
      </c>
      <c r="P32" s="4" t="s">
        <v>187</v>
      </c>
      <c r="Q32" s="4"/>
      <c r="R32" s="4"/>
      <c r="S32" s="50">
        <v>1</v>
      </c>
      <c r="T32" s="48">
        <v>32</v>
      </c>
      <c r="U32" s="4">
        <v>48</v>
      </c>
      <c r="V32" s="4">
        <f t="shared" si="0"/>
        <v>32</v>
      </c>
      <c r="W32" s="4">
        <f t="shared" si="1"/>
        <v>48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52">
        <v>0.375</v>
      </c>
      <c r="I33" s="43">
        <v>0.38541666666666669</v>
      </c>
      <c r="J33" s="4">
        <v>15</v>
      </c>
      <c r="K33" s="43"/>
      <c r="L33" s="52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53">
        <v>0.25</v>
      </c>
      <c r="T33" s="48">
        <v>32</v>
      </c>
      <c r="U33" s="4">
        <v>48</v>
      </c>
      <c r="V33" s="4">
        <f t="shared" si="0"/>
        <v>8</v>
      </c>
      <c r="W33" s="4">
        <f t="shared" si="1"/>
        <v>12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59" t="s">
        <v>809</v>
      </c>
      <c r="R34" s="4"/>
      <c r="S34" s="53">
        <v>0.25</v>
      </c>
      <c r="T34" s="48">
        <v>32</v>
      </c>
      <c r="U34" s="4">
        <v>48</v>
      </c>
      <c r="V34" s="4">
        <f t="shared" si="0"/>
        <v>8</v>
      </c>
      <c r="W34" s="4">
        <f t="shared" si="1"/>
        <v>12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56">
        <v>0.43750000000000006</v>
      </c>
      <c r="J35" s="4">
        <v>40</v>
      </c>
      <c r="K35" s="43"/>
      <c r="L35" s="45">
        <v>0.40972222222222227</v>
      </c>
      <c r="M35" s="56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50">
        <v>1.5</v>
      </c>
      <c r="T35" s="48">
        <v>32</v>
      </c>
      <c r="U35" s="4">
        <v>48</v>
      </c>
      <c r="V35" s="4">
        <f t="shared" si="0"/>
        <v>48</v>
      </c>
      <c r="W35" s="4">
        <f t="shared" si="1"/>
        <v>72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52">
        <v>0.64583333333333337</v>
      </c>
      <c r="I36" s="56">
        <v>0.66666666666666674</v>
      </c>
      <c r="J36" s="4">
        <v>30</v>
      </c>
      <c r="K36" s="43"/>
      <c r="L36" s="52">
        <v>0.64583333333333337</v>
      </c>
      <c r="M36" s="56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50">
        <v>1</v>
      </c>
      <c r="T36" s="48">
        <v>32</v>
      </c>
      <c r="U36" s="4">
        <v>48</v>
      </c>
      <c r="V36" s="4">
        <f t="shared" si="0"/>
        <v>32</v>
      </c>
      <c r="W36" s="4">
        <f t="shared" si="1"/>
        <v>48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52">
        <v>0.64236111111111105</v>
      </c>
      <c r="I37" s="56">
        <v>0.66666666666666663</v>
      </c>
      <c r="J37" s="4">
        <v>35</v>
      </c>
      <c r="K37" s="43"/>
      <c r="L37" s="52">
        <v>0.64236111111111105</v>
      </c>
      <c r="M37" s="56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50">
        <v>1</v>
      </c>
      <c r="T37" s="48">
        <v>32</v>
      </c>
      <c r="U37" s="4">
        <v>48</v>
      </c>
      <c r="V37" s="4">
        <f t="shared" si="0"/>
        <v>32</v>
      </c>
      <c r="W37" s="4">
        <f t="shared" si="1"/>
        <v>48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52">
        <v>0.66666666666666663</v>
      </c>
      <c r="I38" s="43">
        <v>0.6875</v>
      </c>
      <c r="J38" s="4">
        <v>30</v>
      </c>
      <c r="K38" s="43"/>
      <c r="L38" s="52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53">
        <v>0.5</v>
      </c>
      <c r="T38" s="48">
        <v>32</v>
      </c>
      <c r="U38" s="4">
        <v>48</v>
      </c>
      <c r="V38" s="4">
        <f t="shared" si="0"/>
        <v>16</v>
      </c>
      <c r="W38" s="4">
        <f t="shared" si="1"/>
        <v>24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56">
        <v>0.70833333333333337</v>
      </c>
      <c r="J39" s="4">
        <v>30</v>
      </c>
      <c r="K39" s="43"/>
      <c r="L39" s="45">
        <v>0.6875</v>
      </c>
      <c r="M39" s="56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50">
        <v>1</v>
      </c>
      <c r="T39" s="48">
        <v>32</v>
      </c>
      <c r="U39" s="4">
        <v>48</v>
      </c>
      <c r="V39" s="4">
        <f t="shared" si="0"/>
        <v>32</v>
      </c>
      <c r="W39" s="4">
        <f t="shared" si="1"/>
        <v>48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52">
        <v>0.54166666666666663</v>
      </c>
      <c r="I40" s="43">
        <v>0.5625</v>
      </c>
      <c r="J40" s="4">
        <v>30</v>
      </c>
      <c r="K40" s="43"/>
      <c r="L40" s="52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53">
        <v>0.5</v>
      </c>
      <c r="T40" s="48">
        <v>32</v>
      </c>
      <c r="U40" s="4">
        <v>48</v>
      </c>
      <c r="V40" s="4">
        <f t="shared" si="0"/>
        <v>16</v>
      </c>
      <c r="W40" s="4">
        <f t="shared" si="1"/>
        <v>24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56">
        <v>0.60416666666666663</v>
      </c>
      <c r="J41" s="4">
        <v>15</v>
      </c>
      <c r="K41" s="43"/>
      <c r="L41" s="45">
        <v>0.59375</v>
      </c>
      <c r="M41" s="56">
        <v>0.60416666666666663</v>
      </c>
      <c r="N41" s="4">
        <v>15</v>
      </c>
      <c r="O41" s="6" t="s">
        <v>26</v>
      </c>
      <c r="P41" s="4" t="s">
        <v>372</v>
      </c>
      <c r="Q41" s="59" t="s">
        <v>809</v>
      </c>
      <c r="R41" s="4"/>
      <c r="S41" s="50">
        <v>1.5</v>
      </c>
      <c r="T41" s="48">
        <v>32</v>
      </c>
      <c r="U41" s="4">
        <v>48</v>
      </c>
      <c r="V41" s="4">
        <f t="shared" si="0"/>
        <v>48</v>
      </c>
      <c r="W41" s="4">
        <f t="shared" si="1"/>
        <v>72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52">
        <v>0.60416666666666663</v>
      </c>
      <c r="I42" s="56">
        <v>0.625</v>
      </c>
      <c r="J42" s="4">
        <v>30</v>
      </c>
      <c r="K42" s="43"/>
      <c r="L42" s="52">
        <v>0.60416666666666663</v>
      </c>
      <c r="M42" s="56">
        <v>0.625</v>
      </c>
      <c r="N42" s="4">
        <v>30</v>
      </c>
      <c r="O42" s="4" t="s">
        <v>291</v>
      </c>
      <c r="P42" s="4" t="s">
        <v>681</v>
      </c>
      <c r="Q42" s="4"/>
      <c r="R42" s="4"/>
      <c r="S42" s="50">
        <v>1</v>
      </c>
      <c r="T42" s="48">
        <v>32</v>
      </c>
      <c r="U42" s="4">
        <v>48</v>
      </c>
      <c r="V42" s="4">
        <f t="shared" si="0"/>
        <v>32</v>
      </c>
      <c r="W42" s="4">
        <f t="shared" si="1"/>
        <v>48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52">
        <v>0.60069444444444442</v>
      </c>
      <c r="I43" s="56">
        <v>0.64236111111111105</v>
      </c>
      <c r="J43" s="4">
        <v>60</v>
      </c>
      <c r="K43" s="43"/>
      <c r="L43" s="52">
        <v>0.60069444444444442</v>
      </c>
      <c r="M43" s="56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50">
        <v>1</v>
      </c>
      <c r="T43" s="48">
        <v>32</v>
      </c>
      <c r="U43" s="4">
        <v>48</v>
      </c>
      <c r="V43" s="4">
        <f t="shared" si="0"/>
        <v>32</v>
      </c>
      <c r="W43" s="4">
        <f t="shared" si="1"/>
        <v>48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52">
        <v>0.64583333333333337</v>
      </c>
      <c r="I44" s="56">
        <v>0.6875</v>
      </c>
      <c r="J44" s="4">
        <v>60</v>
      </c>
      <c r="K44" s="43"/>
      <c r="L44" s="52">
        <v>0.64583333333333337</v>
      </c>
      <c r="M44" s="56">
        <v>0.6875</v>
      </c>
      <c r="N44" s="4">
        <v>60</v>
      </c>
      <c r="O44" s="6" t="s">
        <v>120</v>
      </c>
      <c r="P44" s="4" t="s">
        <v>187</v>
      </c>
      <c r="Q44" s="4"/>
      <c r="R44" s="4"/>
      <c r="S44" s="50">
        <v>1</v>
      </c>
      <c r="T44" s="48">
        <v>32</v>
      </c>
      <c r="U44" s="4">
        <v>48</v>
      </c>
      <c r="V44" s="4">
        <f t="shared" si="0"/>
        <v>32</v>
      </c>
      <c r="W44" s="4">
        <f t="shared" si="1"/>
        <v>48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52">
        <v>0.41666666666666669</v>
      </c>
      <c r="I45" s="56">
        <v>0.4375</v>
      </c>
      <c r="J45" s="4">
        <v>30</v>
      </c>
      <c r="K45" s="43"/>
      <c r="L45" s="52">
        <v>0.41666666666666669</v>
      </c>
      <c r="M45" s="56">
        <v>0.4375</v>
      </c>
      <c r="N45" s="4">
        <v>30</v>
      </c>
      <c r="O45" s="6" t="s">
        <v>146</v>
      </c>
      <c r="P45" s="4"/>
      <c r="Q45" s="4"/>
      <c r="R45" s="4"/>
      <c r="S45" s="50">
        <v>1</v>
      </c>
      <c r="T45" s="48">
        <v>27</v>
      </c>
      <c r="U45" s="4">
        <v>48</v>
      </c>
      <c r="V45" s="4">
        <f t="shared" si="0"/>
        <v>27</v>
      </c>
      <c r="W45" s="4">
        <f t="shared" si="1"/>
        <v>48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52">
        <v>0.3125</v>
      </c>
      <c r="I46" s="43">
        <v>0.32291666666666669</v>
      </c>
      <c r="J46" s="4">
        <v>15</v>
      </c>
      <c r="K46" s="43"/>
      <c r="L46" s="52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53">
        <v>0.25</v>
      </c>
      <c r="T46" s="48">
        <v>27</v>
      </c>
      <c r="U46" s="4">
        <v>48</v>
      </c>
      <c r="V46" s="4">
        <f t="shared" si="0"/>
        <v>6.75</v>
      </c>
      <c r="W46" s="4">
        <f t="shared" si="1"/>
        <v>12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53">
        <v>1</v>
      </c>
      <c r="T47" s="48">
        <v>27</v>
      </c>
      <c r="U47" s="4">
        <v>48</v>
      </c>
      <c r="V47" s="4">
        <f t="shared" si="0"/>
        <v>27</v>
      </c>
      <c r="W47" s="4">
        <f t="shared" si="1"/>
        <v>48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56">
        <v>0.38541666666666669</v>
      </c>
      <c r="J48" s="4">
        <v>15</v>
      </c>
      <c r="K48" s="43"/>
      <c r="L48" s="43">
        <v>0.375</v>
      </c>
      <c r="M48" s="56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50">
        <v>1.75</v>
      </c>
      <c r="T48" s="48">
        <v>27</v>
      </c>
      <c r="U48" s="4">
        <v>48</v>
      </c>
      <c r="V48" s="4">
        <f t="shared" si="0"/>
        <v>47.25</v>
      </c>
      <c r="W48" s="4">
        <f t="shared" si="1"/>
        <v>84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52">
        <v>0.33333333333333331</v>
      </c>
      <c r="I49" s="56">
        <v>0.41666666666666663</v>
      </c>
      <c r="J49" s="4">
        <v>120</v>
      </c>
      <c r="K49" s="43"/>
      <c r="L49" s="52">
        <v>0.33333333333333331</v>
      </c>
      <c r="M49" s="56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50">
        <v>2</v>
      </c>
      <c r="T49" s="48">
        <v>27</v>
      </c>
      <c r="U49" s="4">
        <v>48</v>
      </c>
      <c r="V49" s="4">
        <f t="shared" si="0"/>
        <v>54</v>
      </c>
      <c r="W49" s="4">
        <f t="shared" si="1"/>
        <v>96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52">
        <v>0.48958333333333331</v>
      </c>
      <c r="I50" s="43">
        <v>0.57291666666666663</v>
      </c>
      <c r="J50" s="4">
        <v>120</v>
      </c>
      <c r="K50" s="43"/>
      <c r="L50" s="52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53">
        <v>2</v>
      </c>
      <c r="T50" s="48">
        <v>30</v>
      </c>
      <c r="U50" s="4">
        <v>48</v>
      </c>
      <c r="V50" s="4">
        <f t="shared" si="0"/>
        <v>60</v>
      </c>
      <c r="W50" s="4">
        <f t="shared" si="1"/>
        <v>96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56">
        <v>0.66666666666666663</v>
      </c>
      <c r="J51" s="4">
        <v>150</v>
      </c>
      <c r="K51" s="43"/>
      <c r="L51" s="45">
        <v>0.5625</v>
      </c>
      <c r="M51" s="56">
        <v>0.66666666666666663</v>
      </c>
      <c r="N51" s="4">
        <v>150</v>
      </c>
      <c r="O51" s="6" t="s">
        <v>115</v>
      </c>
      <c r="P51" s="4" t="s">
        <v>116</v>
      </c>
      <c r="Q51" s="59" t="s">
        <v>811</v>
      </c>
      <c r="R51" s="4"/>
      <c r="S51" s="50">
        <v>4.25</v>
      </c>
      <c r="T51" s="48">
        <v>30</v>
      </c>
      <c r="U51" s="4">
        <v>48</v>
      </c>
      <c r="V51" s="4">
        <f t="shared" si="0"/>
        <v>127.5</v>
      </c>
      <c r="W51" s="4">
        <f t="shared" si="1"/>
        <v>204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52">
        <v>0.58333333333333337</v>
      </c>
      <c r="I52" s="56">
        <v>0.60416666666666674</v>
      </c>
      <c r="J52" s="4">
        <v>30</v>
      </c>
      <c r="K52" s="43"/>
      <c r="L52" s="52">
        <v>0.58333333333333337</v>
      </c>
      <c r="M52" s="56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50">
        <v>1</v>
      </c>
      <c r="T52" s="48">
        <v>30</v>
      </c>
      <c r="U52" s="4">
        <v>48</v>
      </c>
      <c r="V52" s="4">
        <f t="shared" si="0"/>
        <v>30</v>
      </c>
      <c r="W52" s="4">
        <f t="shared" si="1"/>
        <v>48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52">
        <v>0.58333333333333337</v>
      </c>
      <c r="I53" s="56">
        <v>0.60416666666666663</v>
      </c>
      <c r="J53" s="4">
        <v>30</v>
      </c>
      <c r="K53" s="43"/>
      <c r="L53" s="52">
        <v>0.58333333333333337</v>
      </c>
      <c r="M53" s="56">
        <v>0.60416666666666663</v>
      </c>
      <c r="N53" s="4">
        <v>30</v>
      </c>
      <c r="O53" s="6" t="s">
        <v>378</v>
      </c>
      <c r="P53" s="4"/>
      <c r="Q53" s="4"/>
      <c r="R53" s="4"/>
      <c r="S53" s="50">
        <v>1</v>
      </c>
      <c r="T53" s="48">
        <v>30</v>
      </c>
      <c r="U53" s="4">
        <v>48</v>
      </c>
      <c r="V53" s="4">
        <f t="shared" si="0"/>
        <v>30</v>
      </c>
      <c r="W53" s="4">
        <f t="shared" si="1"/>
        <v>48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52">
        <v>0.45833333333333331</v>
      </c>
      <c r="I54" s="43">
        <v>0.47916666666666663</v>
      </c>
      <c r="J54" s="4">
        <v>30</v>
      </c>
      <c r="K54" s="43"/>
      <c r="L54" s="52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53">
        <v>0.5</v>
      </c>
      <c r="T54" s="48">
        <v>30</v>
      </c>
      <c r="U54" s="4">
        <v>48</v>
      </c>
      <c r="V54" s="4">
        <f t="shared" si="0"/>
        <v>15</v>
      </c>
      <c r="W54" s="4">
        <f t="shared" si="1"/>
        <v>24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56">
        <v>0.58333333333333337</v>
      </c>
      <c r="J55" s="4">
        <v>90</v>
      </c>
      <c r="K55" s="43"/>
      <c r="L55" s="45">
        <v>0.52083333333333337</v>
      </c>
      <c r="M55" s="56">
        <v>0.58333333333333337</v>
      </c>
      <c r="N55" s="4">
        <v>90</v>
      </c>
      <c r="O55" s="6" t="s">
        <v>26</v>
      </c>
      <c r="P55" s="4" t="s">
        <v>192</v>
      </c>
      <c r="Q55" s="59" t="s">
        <v>809</v>
      </c>
      <c r="R55" s="4"/>
      <c r="S55" s="50">
        <v>3</v>
      </c>
      <c r="T55" s="48">
        <v>30</v>
      </c>
      <c r="U55" s="4">
        <v>48</v>
      </c>
      <c r="V55" s="4">
        <f t="shared" si="0"/>
        <v>90</v>
      </c>
      <c r="W55" s="4">
        <f t="shared" si="1"/>
        <v>144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52">
        <v>0.35416666666666669</v>
      </c>
      <c r="I56" s="43">
        <v>0.375</v>
      </c>
      <c r="J56" s="4">
        <v>30</v>
      </c>
      <c r="K56" s="43"/>
      <c r="L56" s="52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53">
        <v>0.5</v>
      </c>
      <c r="T56" s="48">
        <v>30</v>
      </c>
      <c r="U56" s="4">
        <v>48</v>
      </c>
      <c r="V56" s="4">
        <f t="shared" si="0"/>
        <v>15</v>
      </c>
      <c r="W56" s="4">
        <f t="shared" si="1"/>
        <v>24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56">
        <v>0.47916666666666669</v>
      </c>
      <c r="J57" s="4">
        <v>90</v>
      </c>
      <c r="K57" s="43"/>
      <c r="L57" s="45">
        <v>0.41666666666666669</v>
      </c>
      <c r="M57" s="56">
        <v>0.47916666666666669</v>
      </c>
      <c r="N57" s="4">
        <v>90</v>
      </c>
      <c r="O57" s="6" t="s">
        <v>26</v>
      </c>
      <c r="P57" s="4" t="s">
        <v>192</v>
      </c>
      <c r="Q57" s="59" t="s">
        <v>809</v>
      </c>
      <c r="R57" s="4"/>
      <c r="S57" s="50">
        <v>3</v>
      </c>
      <c r="T57" s="48">
        <v>30</v>
      </c>
      <c r="U57" s="4">
        <v>48</v>
      </c>
      <c r="V57" s="4">
        <f t="shared" si="0"/>
        <v>90</v>
      </c>
      <c r="W57" s="4">
        <f t="shared" si="1"/>
        <v>144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52">
        <v>0.35416666666666669</v>
      </c>
      <c r="I58" s="56">
        <v>0.45833333333333331</v>
      </c>
      <c r="J58" s="4">
        <v>150</v>
      </c>
      <c r="K58" s="43"/>
      <c r="L58" s="52">
        <v>0.35416666666666669</v>
      </c>
      <c r="M58" s="56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50">
        <v>2.5</v>
      </c>
      <c r="T58" s="48">
        <v>30</v>
      </c>
      <c r="U58" s="4">
        <v>48</v>
      </c>
      <c r="V58" s="4">
        <f t="shared" si="0"/>
        <v>75</v>
      </c>
      <c r="W58" s="4">
        <f t="shared" si="1"/>
        <v>120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52">
        <v>0.63194444444444442</v>
      </c>
      <c r="I59" s="56">
        <v>0.73611111111111116</v>
      </c>
      <c r="J59" s="4">
        <v>150</v>
      </c>
      <c r="K59" s="43"/>
      <c r="L59" s="52">
        <v>0.63194444444444442</v>
      </c>
      <c r="M59" s="56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50">
        <v>2.5</v>
      </c>
      <c r="T59" s="48">
        <v>30</v>
      </c>
      <c r="U59" s="4">
        <v>48</v>
      </c>
      <c r="V59" s="4">
        <f t="shared" si="0"/>
        <v>75</v>
      </c>
      <c r="W59" s="4">
        <f t="shared" si="1"/>
        <v>120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52">
        <v>0.32291666666666669</v>
      </c>
      <c r="I60" s="43">
        <v>0.375</v>
      </c>
      <c r="J60" s="4">
        <v>75</v>
      </c>
      <c r="K60" s="43"/>
      <c r="L60" s="52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53">
        <v>1.25</v>
      </c>
      <c r="T60" s="48">
        <v>30</v>
      </c>
      <c r="U60" s="4">
        <v>48</v>
      </c>
      <c r="V60" s="4">
        <f t="shared" si="0"/>
        <v>37.5</v>
      </c>
      <c r="W60" s="4">
        <f t="shared" si="1"/>
        <v>60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59" t="s">
        <v>811</v>
      </c>
      <c r="R61" s="4"/>
      <c r="S61" s="53">
        <v>1</v>
      </c>
      <c r="T61" s="48">
        <v>30</v>
      </c>
      <c r="U61" s="4">
        <v>48</v>
      </c>
      <c r="V61" s="4">
        <f t="shared" si="0"/>
        <v>30</v>
      </c>
      <c r="W61" s="4">
        <f t="shared" si="1"/>
        <v>48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53">
        <v>0.5</v>
      </c>
      <c r="T62" s="48">
        <v>30</v>
      </c>
      <c r="U62" s="4">
        <v>48</v>
      </c>
      <c r="V62" s="4">
        <f t="shared" si="0"/>
        <v>15</v>
      </c>
      <c r="W62" s="4">
        <f t="shared" si="1"/>
        <v>24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56">
        <v>0.47222222222222221</v>
      </c>
      <c r="J63" s="4">
        <v>20</v>
      </c>
      <c r="K63" s="43"/>
      <c r="L63" s="43">
        <v>0.45833333333333331</v>
      </c>
      <c r="M63" s="56">
        <v>0.47222222222222221</v>
      </c>
      <c r="N63" s="4">
        <v>20</v>
      </c>
      <c r="O63" s="4" t="s">
        <v>181</v>
      </c>
      <c r="P63" s="4" t="s">
        <v>239</v>
      </c>
      <c r="Q63" s="59" t="s">
        <v>809</v>
      </c>
      <c r="R63" s="4"/>
      <c r="S63" s="50">
        <v>3.75</v>
      </c>
      <c r="T63" s="48">
        <v>30</v>
      </c>
      <c r="U63" s="4">
        <v>48</v>
      </c>
      <c r="V63" s="4">
        <f t="shared" si="0"/>
        <v>112.5</v>
      </c>
      <c r="W63" s="4">
        <f t="shared" si="1"/>
        <v>180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52">
        <v>0.45833333333333331</v>
      </c>
      <c r="I64" s="43">
        <v>0.54166666666666663</v>
      </c>
      <c r="J64" s="4">
        <v>120</v>
      </c>
      <c r="K64" s="43"/>
      <c r="L64" s="52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53">
        <v>2</v>
      </c>
      <c r="T64" s="48">
        <v>30</v>
      </c>
      <c r="U64" s="4">
        <v>48</v>
      </c>
      <c r="V64" s="4">
        <f t="shared" si="0"/>
        <v>60</v>
      </c>
      <c r="W64" s="4">
        <f t="shared" si="1"/>
        <v>96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56">
        <v>0.54166666666666663</v>
      </c>
      <c r="J65" s="4">
        <v>60</v>
      </c>
      <c r="K65" s="43"/>
      <c r="L65" s="43">
        <v>0.5</v>
      </c>
      <c r="M65" s="56">
        <v>0.54166666666666663</v>
      </c>
      <c r="N65" s="4">
        <v>60</v>
      </c>
      <c r="O65" s="4" t="s">
        <v>26</v>
      </c>
      <c r="P65" s="4" t="s">
        <v>596</v>
      </c>
      <c r="Q65" s="59" t="s">
        <v>811</v>
      </c>
      <c r="R65" s="4"/>
      <c r="S65" s="50">
        <v>2</v>
      </c>
      <c r="T65" s="48">
        <v>30</v>
      </c>
      <c r="U65" s="4">
        <v>48</v>
      </c>
      <c r="V65" s="4">
        <f t="shared" si="0"/>
        <v>60</v>
      </c>
      <c r="W65" s="4">
        <f t="shared" si="1"/>
        <v>96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52">
        <v>0.52083333333333337</v>
      </c>
      <c r="I66" s="56">
        <v>0.59027777777777779</v>
      </c>
      <c r="J66" s="4">
        <v>100</v>
      </c>
      <c r="K66" s="43"/>
      <c r="L66" s="52">
        <v>0.52083333333333337</v>
      </c>
      <c r="M66" s="56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50">
        <v>1.75</v>
      </c>
      <c r="T66" s="48">
        <v>40</v>
      </c>
      <c r="U66" s="4">
        <v>48</v>
      </c>
      <c r="V66" s="4">
        <f t="shared" ref="V66:V129" si="2">T66*S66</f>
        <v>70</v>
      </c>
      <c r="W66" s="4">
        <f t="shared" ref="W66:W129" si="3">U66*S66</f>
        <v>84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52">
        <v>0.4375</v>
      </c>
      <c r="I67" s="56">
        <v>0.46527777777777779</v>
      </c>
      <c r="J67" s="4">
        <v>40</v>
      </c>
      <c r="K67" s="43"/>
      <c r="L67" s="52">
        <v>0.4375</v>
      </c>
      <c r="M67" s="56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50">
        <v>1</v>
      </c>
      <c r="T67" s="48">
        <v>40</v>
      </c>
      <c r="U67" s="4">
        <v>48</v>
      </c>
      <c r="V67" s="4">
        <f t="shared" si="2"/>
        <v>40</v>
      </c>
      <c r="W67" s="4">
        <f t="shared" si="3"/>
        <v>48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52">
        <v>0.625</v>
      </c>
      <c r="I68" s="43">
        <v>0.64583333333333337</v>
      </c>
      <c r="J68" s="4">
        <v>30</v>
      </c>
      <c r="K68" s="43"/>
      <c r="L68" s="52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53">
        <v>0.5</v>
      </c>
      <c r="T68" s="48">
        <v>40</v>
      </c>
      <c r="U68" s="4">
        <v>48</v>
      </c>
      <c r="V68" s="4">
        <f t="shared" si="2"/>
        <v>20</v>
      </c>
      <c r="W68" s="4">
        <f t="shared" si="3"/>
        <v>24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56">
        <v>0.75</v>
      </c>
      <c r="J69" s="4">
        <v>90</v>
      </c>
      <c r="K69" s="43"/>
      <c r="L69" s="45">
        <v>0.6875</v>
      </c>
      <c r="M69" s="56">
        <v>0.75</v>
      </c>
      <c r="N69" s="4">
        <v>90</v>
      </c>
      <c r="O69" s="6" t="s">
        <v>323</v>
      </c>
      <c r="P69" s="4" t="s">
        <v>772</v>
      </c>
      <c r="Q69" s="59" t="s">
        <v>809</v>
      </c>
      <c r="R69" s="4"/>
      <c r="S69" s="50">
        <v>3</v>
      </c>
      <c r="T69" s="48">
        <v>40</v>
      </c>
      <c r="U69" s="4">
        <v>48</v>
      </c>
      <c r="V69" s="4">
        <f t="shared" si="2"/>
        <v>120</v>
      </c>
      <c r="W69" s="4">
        <f t="shared" si="3"/>
        <v>144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52">
        <v>0.50694444444444442</v>
      </c>
      <c r="I70" s="43">
        <v>0.61111111111111105</v>
      </c>
      <c r="J70" s="4">
        <v>150</v>
      </c>
      <c r="K70" s="43"/>
      <c r="L70" s="52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53">
        <v>2.5</v>
      </c>
      <c r="T70" s="48">
        <v>25</v>
      </c>
      <c r="U70" s="4">
        <v>48</v>
      </c>
      <c r="V70" s="4">
        <f t="shared" si="2"/>
        <v>62.5</v>
      </c>
      <c r="W70" s="4">
        <f t="shared" si="3"/>
        <v>120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53">
        <v>0.25</v>
      </c>
      <c r="T71" s="48">
        <v>25</v>
      </c>
      <c r="U71" s="4">
        <v>48</v>
      </c>
      <c r="V71" s="4">
        <f t="shared" si="2"/>
        <v>6.25</v>
      </c>
      <c r="W71" s="4">
        <f t="shared" si="3"/>
        <v>12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56">
        <v>0.64583333333333337</v>
      </c>
      <c r="J72" s="4">
        <v>40</v>
      </c>
      <c r="K72" s="43"/>
      <c r="L72" s="45">
        <v>0.61805555555555558</v>
      </c>
      <c r="M72" s="56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50">
        <v>3.5</v>
      </c>
      <c r="T72" s="48">
        <v>25</v>
      </c>
      <c r="U72" s="4">
        <v>48</v>
      </c>
      <c r="V72" s="4">
        <f t="shared" si="2"/>
        <v>87.5</v>
      </c>
      <c r="W72" s="4">
        <f t="shared" si="3"/>
        <v>168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52">
        <v>0.41666666666666669</v>
      </c>
      <c r="I73" s="43">
        <v>0.45833333333333337</v>
      </c>
      <c r="J73" s="4">
        <v>60</v>
      </c>
      <c r="K73" s="43"/>
      <c r="L73" s="52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53">
        <v>1</v>
      </c>
      <c r="T73" s="48">
        <v>25</v>
      </c>
      <c r="U73" s="4">
        <v>48</v>
      </c>
      <c r="V73" s="4">
        <f t="shared" si="2"/>
        <v>25</v>
      </c>
      <c r="W73" s="4">
        <f t="shared" si="3"/>
        <v>48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56">
        <v>0.5</v>
      </c>
      <c r="J74" s="4">
        <v>60</v>
      </c>
      <c r="K74" s="43"/>
      <c r="L74" s="45">
        <v>0.45833333333333331</v>
      </c>
      <c r="M74" s="56">
        <v>0.5</v>
      </c>
      <c r="N74" s="4">
        <v>60</v>
      </c>
      <c r="O74" s="6" t="s">
        <v>120</v>
      </c>
      <c r="P74" s="4" t="s">
        <v>187</v>
      </c>
      <c r="Q74" s="4"/>
      <c r="R74" s="4"/>
      <c r="S74" s="50">
        <v>2</v>
      </c>
      <c r="T74" s="48">
        <v>25</v>
      </c>
      <c r="U74" s="4">
        <v>48</v>
      </c>
      <c r="V74" s="4">
        <f t="shared" si="2"/>
        <v>50</v>
      </c>
      <c r="W74" s="4">
        <f t="shared" si="3"/>
        <v>96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52">
        <v>0.41666666666666669</v>
      </c>
      <c r="I75" s="43">
        <v>0.45833333333333331</v>
      </c>
      <c r="J75" s="4">
        <v>60</v>
      </c>
      <c r="K75" s="43"/>
      <c r="L75" s="52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53">
        <v>1</v>
      </c>
      <c r="T75" s="48">
        <v>25</v>
      </c>
      <c r="U75" s="4">
        <v>48</v>
      </c>
      <c r="V75" s="4">
        <f t="shared" si="2"/>
        <v>25</v>
      </c>
      <c r="W75" s="4">
        <f t="shared" si="3"/>
        <v>48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56">
        <v>0.47916666666666669</v>
      </c>
      <c r="J76" s="4">
        <v>30</v>
      </c>
      <c r="K76" s="43"/>
      <c r="L76" s="43">
        <v>0.45833333333333331</v>
      </c>
      <c r="M76" s="56">
        <v>0.47916666666666669</v>
      </c>
      <c r="N76" s="4">
        <v>30</v>
      </c>
      <c r="O76" s="6" t="s">
        <v>146</v>
      </c>
      <c r="P76" s="4"/>
      <c r="Q76" s="4"/>
      <c r="R76" s="4"/>
      <c r="S76" s="50">
        <v>1.5</v>
      </c>
      <c r="T76" s="48">
        <v>25</v>
      </c>
      <c r="U76" s="4">
        <v>48</v>
      </c>
      <c r="V76" s="4">
        <f t="shared" si="2"/>
        <v>37.5</v>
      </c>
      <c r="W76" s="4">
        <f t="shared" si="3"/>
        <v>72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52">
        <v>0.5</v>
      </c>
      <c r="I77" s="56">
        <v>0.54166666666666663</v>
      </c>
      <c r="J77" s="4">
        <v>60</v>
      </c>
      <c r="K77" s="43"/>
      <c r="L77" s="52">
        <v>0.5</v>
      </c>
      <c r="M77" s="56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50">
        <v>1</v>
      </c>
      <c r="T77" s="48">
        <v>25</v>
      </c>
      <c r="U77" s="4">
        <v>48</v>
      </c>
      <c r="V77" s="4">
        <f t="shared" si="2"/>
        <v>25</v>
      </c>
      <c r="W77" s="4">
        <f t="shared" si="3"/>
        <v>48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52">
        <v>0.5625</v>
      </c>
      <c r="I78" s="43">
        <v>0.57291666666666663</v>
      </c>
      <c r="J78" s="4">
        <v>15</v>
      </c>
      <c r="K78" s="43"/>
      <c r="L78" s="52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53">
        <v>0.25</v>
      </c>
      <c r="T78" s="48">
        <v>25</v>
      </c>
      <c r="U78" s="4">
        <v>48</v>
      </c>
      <c r="V78" s="4">
        <f t="shared" si="2"/>
        <v>6.25</v>
      </c>
      <c r="W78" s="4">
        <f t="shared" si="3"/>
        <v>12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53">
        <v>0.25</v>
      </c>
      <c r="T79" s="48">
        <v>25</v>
      </c>
      <c r="U79" s="4">
        <v>48</v>
      </c>
      <c r="V79" s="4">
        <f t="shared" si="2"/>
        <v>6.25</v>
      </c>
      <c r="W79" s="4">
        <f t="shared" si="3"/>
        <v>12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56">
        <v>0.625</v>
      </c>
      <c r="J80" s="4">
        <v>40</v>
      </c>
      <c r="K80" s="43"/>
      <c r="L80" s="43">
        <v>0.59722222222222221</v>
      </c>
      <c r="M80" s="56">
        <v>0.625</v>
      </c>
      <c r="N80" s="4">
        <v>40</v>
      </c>
      <c r="O80" s="6" t="s">
        <v>74</v>
      </c>
      <c r="P80" s="4" t="s">
        <v>91</v>
      </c>
      <c r="Q80" s="4"/>
      <c r="R80" s="4"/>
      <c r="S80" s="50">
        <v>1.5</v>
      </c>
      <c r="T80" s="48">
        <v>25</v>
      </c>
      <c r="U80" s="4">
        <v>48</v>
      </c>
      <c r="V80" s="4">
        <f t="shared" si="2"/>
        <v>37.5</v>
      </c>
      <c r="W80" s="4">
        <f t="shared" si="3"/>
        <v>72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52">
        <v>0.5625</v>
      </c>
      <c r="I81" s="43">
        <v>0.57291666666666663</v>
      </c>
      <c r="J81" s="4">
        <v>15</v>
      </c>
      <c r="K81" s="43"/>
      <c r="L81" s="52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53">
        <v>0.25</v>
      </c>
      <c r="T81" s="48">
        <v>25</v>
      </c>
      <c r="U81" s="4">
        <v>48</v>
      </c>
      <c r="V81" s="4">
        <f t="shared" si="2"/>
        <v>6.25</v>
      </c>
      <c r="W81" s="4">
        <f t="shared" si="3"/>
        <v>12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56">
        <v>0.625</v>
      </c>
      <c r="J82" s="4">
        <v>60</v>
      </c>
      <c r="K82" s="43"/>
      <c r="L82" s="45">
        <v>0.58333333333333337</v>
      </c>
      <c r="M82" s="56">
        <v>0.625</v>
      </c>
      <c r="N82" s="4">
        <v>60</v>
      </c>
      <c r="O82" s="6" t="s">
        <v>156</v>
      </c>
      <c r="P82" s="4" t="s">
        <v>147</v>
      </c>
      <c r="Q82" s="4"/>
      <c r="R82" s="4"/>
      <c r="S82" s="50">
        <v>1.5</v>
      </c>
      <c r="T82" s="48">
        <v>25</v>
      </c>
      <c r="U82" s="4">
        <v>48</v>
      </c>
      <c r="V82" s="4">
        <f t="shared" si="2"/>
        <v>37.5</v>
      </c>
      <c r="W82" s="4">
        <f t="shared" si="3"/>
        <v>72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52">
        <v>0.5625</v>
      </c>
      <c r="I83" s="43">
        <v>0.58333333333333337</v>
      </c>
      <c r="J83" s="4">
        <v>30</v>
      </c>
      <c r="K83" s="43"/>
      <c r="L83" s="52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53">
        <v>0.5</v>
      </c>
      <c r="T83" s="48">
        <v>25</v>
      </c>
      <c r="U83" s="4">
        <v>48</v>
      </c>
      <c r="V83" s="4">
        <f t="shared" si="2"/>
        <v>12.5</v>
      </c>
      <c r="W83" s="4">
        <f t="shared" si="3"/>
        <v>24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56">
        <v>0.61458333333333337</v>
      </c>
      <c r="J84" s="4">
        <v>45</v>
      </c>
      <c r="K84" s="43"/>
      <c r="L84" s="45">
        <v>0.58333333333333337</v>
      </c>
      <c r="M84" s="56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50">
        <v>1.25</v>
      </c>
      <c r="T84" s="48">
        <v>25</v>
      </c>
      <c r="U84" s="4">
        <v>48</v>
      </c>
      <c r="V84" s="4">
        <f t="shared" si="2"/>
        <v>31.25</v>
      </c>
      <c r="W84" s="4">
        <f t="shared" si="3"/>
        <v>60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52">
        <v>0.52777777777777779</v>
      </c>
      <c r="I85" s="56">
        <v>0.63194444444444442</v>
      </c>
      <c r="J85" s="4">
        <v>150</v>
      </c>
      <c r="K85" s="43"/>
      <c r="L85" s="52">
        <v>0.52777777777777779</v>
      </c>
      <c r="M85" s="56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50">
        <v>2.5</v>
      </c>
      <c r="T85" s="48">
        <v>25</v>
      </c>
      <c r="U85" s="4">
        <v>48</v>
      </c>
      <c r="V85" s="4">
        <f t="shared" si="2"/>
        <v>62.5</v>
      </c>
      <c r="W85" s="4">
        <f t="shared" si="3"/>
        <v>120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52">
        <v>0.41666666666666669</v>
      </c>
      <c r="I86" s="43">
        <v>0.45833333333333337</v>
      </c>
      <c r="J86" s="4">
        <v>60</v>
      </c>
      <c r="K86" s="43"/>
      <c r="L86" s="52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53">
        <v>1</v>
      </c>
      <c r="T86" s="48">
        <v>28</v>
      </c>
      <c r="U86" s="4">
        <v>48</v>
      </c>
      <c r="V86" s="4">
        <f t="shared" si="2"/>
        <v>28</v>
      </c>
      <c r="W86" s="4">
        <f t="shared" si="3"/>
        <v>48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53">
        <v>1</v>
      </c>
      <c r="T87" s="48">
        <v>28</v>
      </c>
      <c r="U87" s="4">
        <v>48</v>
      </c>
      <c r="V87" s="4">
        <f t="shared" si="2"/>
        <v>28</v>
      </c>
      <c r="W87" s="4">
        <f t="shared" si="3"/>
        <v>48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59" t="s">
        <v>809</v>
      </c>
      <c r="R88" s="4"/>
      <c r="S88" s="53">
        <v>0.25</v>
      </c>
      <c r="T88" s="48">
        <v>28</v>
      </c>
      <c r="U88" s="4">
        <v>48</v>
      </c>
      <c r="V88" s="4">
        <f t="shared" si="2"/>
        <v>7</v>
      </c>
      <c r="W88" s="4">
        <f t="shared" si="3"/>
        <v>12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59" t="s">
        <v>809</v>
      </c>
      <c r="R89" s="4"/>
      <c r="S89" s="53">
        <v>0.25</v>
      </c>
      <c r="T89" s="48">
        <v>28</v>
      </c>
      <c r="U89" s="4">
        <v>48</v>
      </c>
      <c r="V89" s="4">
        <f t="shared" si="2"/>
        <v>7</v>
      </c>
      <c r="W89" s="4">
        <f t="shared" si="3"/>
        <v>12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53">
        <v>1</v>
      </c>
      <c r="T90" s="48">
        <v>28</v>
      </c>
      <c r="U90" s="4">
        <v>48</v>
      </c>
      <c r="V90" s="4">
        <f t="shared" si="2"/>
        <v>28</v>
      </c>
      <c r="W90" s="4">
        <f t="shared" si="3"/>
        <v>48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53">
        <v>0.5</v>
      </c>
      <c r="T91" s="48">
        <v>28</v>
      </c>
      <c r="U91" s="4">
        <v>48</v>
      </c>
      <c r="V91" s="4">
        <f t="shared" si="2"/>
        <v>14</v>
      </c>
      <c r="W91" s="4">
        <f t="shared" si="3"/>
        <v>24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60" t="s">
        <v>811</v>
      </c>
      <c r="R92" s="9"/>
      <c r="S92" s="55">
        <v>0.5</v>
      </c>
      <c r="T92" s="49">
        <v>28</v>
      </c>
      <c r="U92" s="9">
        <v>48</v>
      </c>
      <c r="V92" s="4">
        <f t="shared" si="2"/>
        <v>14</v>
      </c>
      <c r="W92" s="4">
        <f t="shared" si="3"/>
        <v>24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56">
        <v>0.70833333333333337</v>
      </c>
      <c r="J93" s="9">
        <v>60</v>
      </c>
      <c r="K93" s="44"/>
      <c r="L93" s="46">
        <v>0.66666666666666663</v>
      </c>
      <c r="M93" s="5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57">
        <v>7</v>
      </c>
      <c r="T93" s="49">
        <v>28</v>
      </c>
      <c r="U93" s="9">
        <v>48</v>
      </c>
      <c r="V93" s="4">
        <f t="shared" si="2"/>
        <v>196</v>
      </c>
      <c r="W93" s="4">
        <f t="shared" si="3"/>
        <v>336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52">
        <v>0.36458333333333331</v>
      </c>
      <c r="I94" s="43">
        <v>0.375</v>
      </c>
      <c r="J94" s="4">
        <v>15</v>
      </c>
      <c r="K94" s="43"/>
      <c r="L94" s="52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53">
        <v>0.25</v>
      </c>
      <c r="T94" s="48">
        <v>28</v>
      </c>
      <c r="U94" s="4">
        <v>48</v>
      </c>
      <c r="V94" s="4">
        <f t="shared" si="2"/>
        <v>7</v>
      </c>
      <c r="W94" s="4">
        <f t="shared" si="3"/>
        <v>12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56">
        <v>0.41666666666666669</v>
      </c>
      <c r="J95" s="4">
        <v>60</v>
      </c>
      <c r="K95" s="43"/>
      <c r="L95" s="43">
        <v>0.375</v>
      </c>
      <c r="M95" s="56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50">
        <v>1.25</v>
      </c>
      <c r="T95" s="48">
        <v>28</v>
      </c>
      <c r="U95" s="4">
        <v>48</v>
      </c>
      <c r="V95" s="4">
        <f t="shared" si="2"/>
        <v>35</v>
      </c>
      <c r="W95" s="4">
        <f t="shared" si="3"/>
        <v>60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52">
        <v>0.38541666666666669</v>
      </c>
      <c r="I96" s="56">
        <v>0.41666666666666669</v>
      </c>
      <c r="J96" s="4">
        <v>45</v>
      </c>
      <c r="K96" s="43"/>
      <c r="L96" s="52">
        <v>0.38541666666666669</v>
      </c>
      <c r="M96" s="56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50">
        <v>1</v>
      </c>
      <c r="T96" s="48">
        <v>28</v>
      </c>
      <c r="U96" s="4">
        <v>48</v>
      </c>
      <c r="V96" s="4">
        <f t="shared" si="2"/>
        <v>28</v>
      </c>
      <c r="W96" s="4">
        <f t="shared" si="3"/>
        <v>48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52">
        <v>0.48958333333333331</v>
      </c>
      <c r="I97" s="46">
        <v>0.52083333333333337</v>
      </c>
      <c r="J97" s="9">
        <v>45</v>
      </c>
      <c r="K97" s="44"/>
      <c r="L97" s="52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55">
        <v>0.75</v>
      </c>
      <c r="T97" s="49">
        <v>28</v>
      </c>
      <c r="U97" s="9">
        <v>48</v>
      </c>
      <c r="V97" s="4">
        <f t="shared" si="2"/>
        <v>21</v>
      </c>
      <c r="W97" s="4">
        <f t="shared" si="3"/>
        <v>36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60" t="s">
        <v>809</v>
      </c>
      <c r="R98" s="9"/>
      <c r="S98" s="55">
        <v>1</v>
      </c>
      <c r="T98" s="49">
        <v>28</v>
      </c>
      <c r="U98" s="9">
        <v>48</v>
      </c>
      <c r="V98" s="4">
        <f t="shared" si="2"/>
        <v>28</v>
      </c>
      <c r="W98" s="4">
        <f t="shared" si="3"/>
        <v>48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55">
        <v>1</v>
      </c>
      <c r="T99" s="49">
        <v>28</v>
      </c>
      <c r="U99" s="9">
        <v>48</v>
      </c>
      <c r="V99" s="4">
        <f t="shared" si="2"/>
        <v>28</v>
      </c>
      <c r="W99" s="4">
        <f t="shared" si="3"/>
        <v>48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53">
        <v>1</v>
      </c>
      <c r="T100" s="48">
        <v>28</v>
      </c>
      <c r="U100" s="4">
        <v>48</v>
      </c>
      <c r="V100" s="4">
        <f t="shared" si="2"/>
        <v>28</v>
      </c>
      <c r="W100" s="4">
        <f t="shared" si="3"/>
        <v>48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56">
        <v>0.65625</v>
      </c>
      <c r="J101" s="4">
        <v>45</v>
      </c>
      <c r="K101" s="43"/>
      <c r="L101" s="43">
        <v>0.625</v>
      </c>
      <c r="M101" s="56">
        <v>0.65625</v>
      </c>
      <c r="N101" s="4">
        <v>45</v>
      </c>
      <c r="O101" s="4" t="s">
        <v>331</v>
      </c>
      <c r="P101" s="4" t="s">
        <v>718</v>
      </c>
      <c r="Q101" s="59" t="s">
        <v>811</v>
      </c>
      <c r="R101" s="4"/>
      <c r="S101" s="50">
        <v>4.25</v>
      </c>
      <c r="T101" s="48">
        <v>28</v>
      </c>
      <c r="U101" s="4">
        <v>48</v>
      </c>
      <c r="V101" s="4">
        <f t="shared" si="2"/>
        <v>119</v>
      </c>
      <c r="W101" s="4">
        <f t="shared" si="3"/>
        <v>204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52">
        <v>0.58680555555555558</v>
      </c>
      <c r="I102" s="56">
        <v>0.60763888888888884</v>
      </c>
      <c r="J102" s="4">
        <v>30</v>
      </c>
      <c r="K102" s="43"/>
      <c r="L102" s="52">
        <v>0.58680555555555558</v>
      </c>
      <c r="M102" s="56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50">
        <v>1</v>
      </c>
      <c r="T102" s="48">
        <v>28</v>
      </c>
      <c r="U102" s="4">
        <v>48</v>
      </c>
      <c r="V102" s="4">
        <f t="shared" si="2"/>
        <v>28</v>
      </c>
      <c r="W102" s="4">
        <f t="shared" si="3"/>
        <v>48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52">
        <v>0.35416666666666669</v>
      </c>
      <c r="I103" s="43">
        <v>0.375</v>
      </c>
      <c r="J103" s="4">
        <v>30</v>
      </c>
      <c r="K103" s="43"/>
      <c r="L103" s="52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53">
        <v>0.5</v>
      </c>
      <c r="T103" s="48">
        <v>28</v>
      </c>
      <c r="U103" s="4">
        <v>48</v>
      </c>
      <c r="V103" s="4">
        <f t="shared" si="2"/>
        <v>14</v>
      </c>
      <c r="W103" s="4">
        <f t="shared" si="3"/>
        <v>24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56">
        <v>0.39583333333333331</v>
      </c>
      <c r="J104" s="4">
        <v>15</v>
      </c>
      <c r="K104" s="43"/>
      <c r="L104" s="43">
        <v>0.38541666666666669</v>
      </c>
      <c r="M104" s="56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50">
        <v>1</v>
      </c>
      <c r="T104" s="48">
        <v>28</v>
      </c>
      <c r="U104" s="4">
        <v>48</v>
      </c>
      <c r="V104" s="4">
        <f t="shared" si="2"/>
        <v>28</v>
      </c>
      <c r="W104" s="4">
        <f t="shared" si="3"/>
        <v>48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52">
        <v>0.54166666666666663</v>
      </c>
      <c r="I105" s="43">
        <v>0.58333333333333337</v>
      </c>
      <c r="J105" s="4">
        <v>60</v>
      </c>
      <c r="K105" s="43"/>
      <c r="L105" s="52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53">
        <v>1</v>
      </c>
      <c r="T105" s="48">
        <v>28</v>
      </c>
      <c r="U105" s="4">
        <v>48</v>
      </c>
      <c r="V105" s="4">
        <f t="shared" si="2"/>
        <v>28</v>
      </c>
      <c r="W105" s="4">
        <f t="shared" si="3"/>
        <v>48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56">
        <v>0.59375</v>
      </c>
      <c r="J106" s="4">
        <v>15</v>
      </c>
      <c r="K106" s="43"/>
      <c r="L106" s="43">
        <v>0.58333333333333337</v>
      </c>
      <c r="M106" s="56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50">
        <v>1.25</v>
      </c>
      <c r="T106" s="48">
        <v>28</v>
      </c>
      <c r="U106" s="4">
        <v>48</v>
      </c>
      <c r="V106" s="4">
        <f t="shared" si="2"/>
        <v>35</v>
      </c>
      <c r="W106" s="4">
        <f t="shared" si="3"/>
        <v>60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52">
        <v>0.66666666666666663</v>
      </c>
      <c r="I107" s="56">
        <v>0.71527777777777779</v>
      </c>
      <c r="J107" s="4">
        <v>70</v>
      </c>
      <c r="K107" s="43"/>
      <c r="L107" s="52">
        <v>0.66666666666666663</v>
      </c>
      <c r="M107" s="56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50">
        <v>1.25</v>
      </c>
      <c r="T107" s="48">
        <v>30</v>
      </c>
      <c r="U107" s="4">
        <v>48</v>
      </c>
      <c r="V107" s="4">
        <f t="shared" si="2"/>
        <v>37.5</v>
      </c>
      <c r="W107" s="4">
        <f t="shared" si="3"/>
        <v>60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52">
        <v>0.27083333333333331</v>
      </c>
      <c r="I108" s="56">
        <v>0.39583333333333331</v>
      </c>
      <c r="J108" s="4">
        <v>240</v>
      </c>
      <c r="K108" s="43"/>
      <c r="L108" s="52">
        <v>0.27083333333333331</v>
      </c>
      <c r="M108" s="56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50">
        <v>3</v>
      </c>
      <c r="T108" s="48">
        <v>30</v>
      </c>
      <c r="U108" s="4">
        <v>48</v>
      </c>
      <c r="V108" s="4">
        <f t="shared" si="2"/>
        <v>90</v>
      </c>
      <c r="W108" s="4">
        <f t="shared" si="3"/>
        <v>144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52">
        <v>0.52083333333333337</v>
      </c>
      <c r="I109" s="43">
        <v>0.54166666666666663</v>
      </c>
      <c r="J109" s="4">
        <v>30</v>
      </c>
      <c r="K109" s="43"/>
      <c r="L109" s="52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53">
        <v>0.5</v>
      </c>
      <c r="T109" s="48">
        <v>30</v>
      </c>
      <c r="U109" s="4">
        <v>48</v>
      </c>
      <c r="V109" s="4">
        <f t="shared" si="2"/>
        <v>15</v>
      </c>
      <c r="W109" s="4">
        <f t="shared" si="3"/>
        <v>24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53">
        <v>1</v>
      </c>
      <c r="T110" s="48">
        <v>30</v>
      </c>
      <c r="U110" s="4">
        <v>48</v>
      </c>
      <c r="V110" s="4">
        <f t="shared" si="2"/>
        <v>30</v>
      </c>
      <c r="W110" s="4">
        <f t="shared" si="3"/>
        <v>48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59" t="s">
        <v>811</v>
      </c>
      <c r="R111" s="4"/>
      <c r="S111" s="53">
        <v>0</v>
      </c>
      <c r="T111" s="48">
        <v>30</v>
      </c>
      <c r="U111" s="4">
        <v>48</v>
      </c>
      <c r="V111" s="4">
        <f t="shared" si="2"/>
        <v>0</v>
      </c>
      <c r="W111" s="4">
        <f t="shared" si="3"/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56">
        <v>0.60416666666666674</v>
      </c>
      <c r="J112" s="4">
        <v>30</v>
      </c>
      <c r="K112" s="43"/>
      <c r="L112" s="43">
        <v>0.58333333333333337</v>
      </c>
      <c r="M112" s="56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50">
        <v>2</v>
      </c>
      <c r="T112" s="48">
        <v>30</v>
      </c>
      <c r="U112" s="4">
        <v>48</v>
      </c>
      <c r="V112" s="4">
        <f t="shared" si="2"/>
        <v>60</v>
      </c>
      <c r="W112" s="4">
        <f t="shared" si="3"/>
        <v>96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52">
        <v>0.625</v>
      </c>
      <c r="I113" s="56">
        <v>0.64583333333333337</v>
      </c>
      <c r="J113" s="4">
        <v>30</v>
      </c>
      <c r="K113" s="43"/>
      <c r="L113" s="52">
        <v>0.625</v>
      </c>
      <c r="M113" s="56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50">
        <v>1</v>
      </c>
      <c r="T113" s="48">
        <v>30</v>
      </c>
      <c r="U113" s="4">
        <v>48</v>
      </c>
      <c r="V113" s="4">
        <f t="shared" si="2"/>
        <v>30</v>
      </c>
      <c r="W113" s="4">
        <f t="shared" si="3"/>
        <v>48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52">
        <v>0.61111111111111105</v>
      </c>
      <c r="I114" s="43">
        <v>0.64583333333333326</v>
      </c>
      <c r="J114" s="4">
        <v>50</v>
      </c>
      <c r="K114" s="43"/>
      <c r="L114" s="52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53">
        <v>1</v>
      </c>
      <c r="T114" s="48">
        <v>33</v>
      </c>
      <c r="U114" s="4">
        <v>48</v>
      </c>
      <c r="V114" s="4">
        <f t="shared" si="2"/>
        <v>33</v>
      </c>
      <c r="W114" s="4">
        <f t="shared" si="3"/>
        <v>48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56">
        <v>0.6875</v>
      </c>
      <c r="J115" s="4">
        <v>60</v>
      </c>
      <c r="K115" s="43"/>
      <c r="L115" s="45">
        <v>0.64583333333333337</v>
      </c>
      <c r="M115" s="56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50">
        <v>2</v>
      </c>
      <c r="T115" s="48">
        <v>33</v>
      </c>
      <c r="U115" s="4">
        <v>48</v>
      </c>
      <c r="V115" s="4">
        <f t="shared" si="2"/>
        <v>66</v>
      </c>
      <c r="W115" s="4">
        <f t="shared" si="3"/>
        <v>96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52">
        <v>0.5625</v>
      </c>
      <c r="I116" s="43">
        <v>0.60416666666666663</v>
      </c>
      <c r="J116" s="4">
        <v>60</v>
      </c>
      <c r="K116" s="43"/>
      <c r="L116" s="52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53">
        <v>1</v>
      </c>
      <c r="T116" s="48">
        <v>33</v>
      </c>
      <c r="U116" s="4">
        <v>48</v>
      </c>
      <c r="V116" s="4">
        <f t="shared" si="2"/>
        <v>33</v>
      </c>
      <c r="W116" s="4">
        <f t="shared" si="3"/>
        <v>48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56">
        <v>0.70833333333333326</v>
      </c>
      <c r="J117" s="4">
        <v>150</v>
      </c>
      <c r="K117" s="43"/>
      <c r="L117" s="43">
        <v>0.60416666666666663</v>
      </c>
      <c r="M117" s="56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50">
        <v>3.5</v>
      </c>
      <c r="T117" s="48">
        <v>33</v>
      </c>
      <c r="U117" s="4">
        <v>48</v>
      </c>
      <c r="V117" s="4">
        <f t="shared" si="2"/>
        <v>115.5</v>
      </c>
      <c r="W117" s="4">
        <f t="shared" si="3"/>
        <v>168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52">
        <v>0.41666666666666669</v>
      </c>
      <c r="I118" s="56">
        <v>0.44444444444444448</v>
      </c>
      <c r="J118" s="4">
        <v>40</v>
      </c>
      <c r="K118" s="43"/>
      <c r="L118" s="52">
        <v>0.41666666666666669</v>
      </c>
      <c r="M118" s="56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50">
        <v>1</v>
      </c>
      <c r="T118" s="48">
        <v>33</v>
      </c>
      <c r="U118" s="4">
        <v>48</v>
      </c>
      <c r="V118" s="4">
        <f t="shared" si="2"/>
        <v>33</v>
      </c>
      <c r="W118" s="4">
        <f t="shared" si="3"/>
        <v>48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52">
        <v>0.43055555555555558</v>
      </c>
      <c r="I119" s="56">
        <v>0.45833333333333337</v>
      </c>
      <c r="J119" s="4">
        <v>40</v>
      </c>
      <c r="K119" s="43"/>
      <c r="L119" s="52">
        <v>0.43055555555555558</v>
      </c>
      <c r="M119" s="56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50">
        <v>1</v>
      </c>
      <c r="T119" s="48">
        <v>33</v>
      </c>
      <c r="U119" s="4">
        <v>48</v>
      </c>
      <c r="V119" s="4">
        <f t="shared" si="2"/>
        <v>33</v>
      </c>
      <c r="W119" s="4">
        <f t="shared" si="3"/>
        <v>48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52">
        <v>0.66666666666666663</v>
      </c>
      <c r="I120" s="43">
        <v>0.6875</v>
      </c>
      <c r="J120" s="4">
        <v>30</v>
      </c>
      <c r="K120" s="43"/>
      <c r="L120" s="52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53">
        <v>0.5</v>
      </c>
      <c r="T120" s="48">
        <v>32</v>
      </c>
      <c r="U120" s="4">
        <v>48</v>
      </c>
      <c r="V120" s="4">
        <f t="shared" si="2"/>
        <v>16</v>
      </c>
      <c r="W120" s="4">
        <f t="shared" si="3"/>
        <v>24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56">
        <v>0.70833333333333337</v>
      </c>
      <c r="J121" s="4">
        <v>30</v>
      </c>
      <c r="K121" s="43"/>
      <c r="L121" s="45">
        <v>0.6875</v>
      </c>
      <c r="M121" s="56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50">
        <v>1</v>
      </c>
      <c r="T121" s="48">
        <v>32</v>
      </c>
      <c r="U121" s="4">
        <v>48</v>
      </c>
      <c r="V121" s="4">
        <f t="shared" si="2"/>
        <v>32</v>
      </c>
      <c r="W121" s="4">
        <f t="shared" si="3"/>
        <v>48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52">
        <v>0.61458333333333337</v>
      </c>
      <c r="I122" s="43">
        <v>0.65625</v>
      </c>
      <c r="J122" s="4">
        <v>60</v>
      </c>
      <c r="K122" s="43"/>
      <c r="L122" s="52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53">
        <v>1</v>
      </c>
      <c r="T122" s="48">
        <v>40</v>
      </c>
      <c r="U122" s="4">
        <v>48</v>
      </c>
      <c r="V122" s="4">
        <f t="shared" si="2"/>
        <v>40</v>
      </c>
      <c r="W122" s="4">
        <f t="shared" si="3"/>
        <v>48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56">
        <v>0.67708333333333337</v>
      </c>
      <c r="J123" s="4">
        <v>30</v>
      </c>
      <c r="K123" s="43"/>
      <c r="L123" s="45">
        <v>0.65625</v>
      </c>
      <c r="M123" s="56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50">
        <v>1.5</v>
      </c>
      <c r="T123" s="48">
        <v>40</v>
      </c>
      <c r="U123" s="4">
        <v>48</v>
      </c>
      <c r="V123" s="4">
        <f t="shared" si="2"/>
        <v>60</v>
      </c>
      <c r="W123" s="4">
        <f t="shared" si="3"/>
        <v>72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52">
        <v>0.41666666666666669</v>
      </c>
      <c r="I124" s="43">
        <v>0.47916666666666669</v>
      </c>
      <c r="J124" s="4">
        <v>90</v>
      </c>
      <c r="K124" s="43"/>
      <c r="L124" s="52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53">
        <v>1.5</v>
      </c>
      <c r="T124" s="48">
        <v>37</v>
      </c>
      <c r="U124" s="4">
        <v>48</v>
      </c>
      <c r="V124" s="4">
        <f t="shared" si="2"/>
        <v>55.5</v>
      </c>
      <c r="W124" s="4">
        <f t="shared" si="3"/>
        <v>72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53">
        <v>1.5</v>
      </c>
      <c r="T125" s="48">
        <v>37</v>
      </c>
      <c r="U125" s="4">
        <v>48</v>
      </c>
      <c r="V125" s="4">
        <f t="shared" si="2"/>
        <v>55.5</v>
      </c>
      <c r="W125" s="4">
        <f t="shared" si="3"/>
        <v>72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56">
        <v>0.5625</v>
      </c>
      <c r="J126" s="4">
        <v>15</v>
      </c>
      <c r="K126" s="43"/>
      <c r="L126" s="45">
        <v>0.55208333333333337</v>
      </c>
      <c r="M126" s="56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50">
        <v>3.5</v>
      </c>
      <c r="T126" s="48">
        <v>37</v>
      </c>
      <c r="U126" s="4">
        <v>48</v>
      </c>
      <c r="V126" s="4">
        <f t="shared" si="2"/>
        <v>129.5</v>
      </c>
      <c r="W126" s="4">
        <f t="shared" si="3"/>
        <v>168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52">
        <v>0.58333333333333337</v>
      </c>
      <c r="I127" s="43">
        <v>0.625</v>
      </c>
      <c r="J127" s="4">
        <v>60</v>
      </c>
      <c r="K127" s="43"/>
      <c r="L127" s="52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53">
        <v>1</v>
      </c>
      <c r="T127" s="48">
        <v>37</v>
      </c>
      <c r="U127" s="4">
        <v>48</v>
      </c>
      <c r="V127" s="4">
        <f t="shared" si="2"/>
        <v>37</v>
      </c>
      <c r="W127" s="4">
        <f t="shared" si="3"/>
        <v>48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56">
        <v>0.65625</v>
      </c>
      <c r="J128" s="4">
        <v>45</v>
      </c>
      <c r="K128" s="43"/>
      <c r="L128" s="45">
        <v>0.625</v>
      </c>
      <c r="M128" s="56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50">
        <v>1.75</v>
      </c>
      <c r="T128" s="48">
        <v>37</v>
      </c>
      <c r="U128" s="4">
        <v>48</v>
      </c>
      <c r="V128" s="4">
        <f t="shared" si="2"/>
        <v>64.75</v>
      </c>
      <c r="W128" s="4">
        <f t="shared" si="3"/>
        <v>84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52">
        <v>0.625</v>
      </c>
      <c r="I129" s="43">
        <v>0.64583333333333337</v>
      </c>
      <c r="J129" s="4">
        <v>30</v>
      </c>
      <c r="K129" s="43"/>
      <c r="L129" s="52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53">
        <v>0.5</v>
      </c>
      <c r="T129" s="48">
        <v>37</v>
      </c>
      <c r="U129" s="4">
        <v>48</v>
      </c>
      <c r="V129" s="4">
        <f t="shared" si="2"/>
        <v>18.5</v>
      </c>
      <c r="W129" s="4">
        <f t="shared" si="3"/>
        <v>24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56">
        <v>0.66666666666666663</v>
      </c>
      <c r="J130" s="4">
        <v>30</v>
      </c>
      <c r="K130" s="43"/>
      <c r="L130" s="43">
        <v>0.64583333333333337</v>
      </c>
      <c r="M130" s="56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50">
        <v>1</v>
      </c>
      <c r="T130" s="48">
        <v>37</v>
      </c>
      <c r="U130" s="4">
        <v>48</v>
      </c>
      <c r="V130" s="4">
        <f t="shared" ref="V130:V193" si="4">T130*S130</f>
        <v>37</v>
      </c>
      <c r="W130" s="4">
        <f t="shared" ref="W130:W193" si="5">U130*S130</f>
        <v>48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52">
        <v>0.54166666666666663</v>
      </c>
      <c r="I131" s="43">
        <v>0.5625</v>
      </c>
      <c r="J131" s="4">
        <v>30</v>
      </c>
      <c r="K131" s="43"/>
      <c r="L131" s="52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53">
        <v>0.5</v>
      </c>
      <c r="T131" s="48">
        <v>35</v>
      </c>
      <c r="U131" s="4">
        <v>48</v>
      </c>
      <c r="V131" s="4">
        <f t="shared" si="4"/>
        <v>17.5</v>
      </c>
      <c r="W131" s="4">
        <f t="shared" si="5"/>
        <v>24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59" t="s">
        <v>809</v>
      </c>
      <c r="R132" s="4"/>
      <c r="S132" s="53">
        <v>1.5</v>
      </c>
      <c r="T132" s="48">
        <v>35</v>
      </c>
      <c r="U132" s="4">
        <v>48</v>
      </c>
      <c r="V132" s="4">
        <f t="shared" si="4"/>
        <v>52.5</v>
      </c>
      <c r="W132" s="4">
        <f t="shared" si="5"/>
        <v>72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59" t="s">
        <v>811</v>
      </c>
      <c r="R133" s="4"/>
      <c r="S133" s="53">
        <v>0</v>
      </c>
      <c r="T133" s="48">
        <v>35</v>
      </c>
      <c r="U133" s="4">
        <v>48</v>
      </c>
      <c r="V133" s="4">
        <f t="shared" si="4"/>
        <v>0</v>
      </c>
      <c r="W133" s="4">
        <f t="shared" si="5"/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53">
        <v>0.5</v>
      </c>
      <c r="T134" s="48">
        <v>35</v>
      </c>
      <c r="U134" s="4">
        <v>48</v>
      </c>
      <c r="V134" s="4">
        <f t="shared" si="4"/>
        <v>17.5</v>
      </c>
      <c r="W134" s="4">
        <f t="shared" si="5"/>
        <v>24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59" t="s">
        <v>811</v>
      </c>
      <c r="R135" s="4"/>
      <c r="S135" s="53">
        <v>1.5</v>
      </c>
      <c r="T135" s="48">
        <v>35</v>
      </c>
      <c r="U135" s="4">
        <v>48</v>
      </c>
      <c r="V135" s="4">
        <f t="shared" si="4"/>
        <v>52.5</v>
      </c>
      <c r="W135" s="4">
        <f t="shared" si="5"/>
        <v>72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59" t="s">
        <v>811</v>
      </c>
      <c r="R136" s="4"/>
      <c r="S136" s="53">
        <v>0.5</v>
      </c>
      <c r="T136" s="48">
        <v>35</v>
      </c>
      <c r="U136" s="4">
        <v>48</v>
      </c>
      <c r="V136" s="4">
        <f t="shared" si="4"/>
        <v>17.5</v>
      </c>
      <c r="W136" s="4">
        <f t="shared" si="5"/>
        <v>24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56">
        <v>0.83333333333333337</v>
      </c>
      <c r="J137" s="4">
        <v>120</v>
      </c>
      <c r="K137" s="43"/>
      <c r="L137" s="45">
        <v>0.75</v>
      </c>
      <c r="M137" s="56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50">
        <v>7</v>
      </c>
      <c r="T137" s="48">
        <v>35</v>
      </c>
      <c r="U137" s="4">
        <v>48</v>
      </c>
      <c r="V137" s="4">
        <f t="shared" si="4"/>
        <v>245</v>
      </c>
      <c r="W137" s="4">
        <f t="shared" si="5"/>
        <v>336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52">
        <v>0.4236111111111111</v>
      </c>
      <c r="I138" s="43">
        <v>0.46527777777777779</v>
      </c>
      <c r="J138" s="4">
        <v>60</v>
      </c>
      <c r="K138" s="43"/>
      <c r="L138" s="52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53">
        <v>1</v>
      </c>
      <c r="T138" s="48">
        <v>27</v>
      </c>
      <c r="U138" s="4">
        <v>48</v>
      </c>
      <c r="V138" s="4">
        <f t="shared" si="4"/>
        <v>27</v>
      </c>
      <c r="W138" s="4">
        <f t="shared" si="5"/>
        <v>48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56">
        <v>0.54166666666666663</v>
      </c>
      <c r="J139" s="4">
        <v>60</v>
      </c>
      <c r="K139" s="43"/>
      <c r="L139" s="45">
        <v>0.5</v>
      </c>
      <c r="M139" s="56">
        <v>0.54166666666666663</v>
      </c>
      <c r="N139" s="4">
        <v>60</v>
      </c>
      <c r="O139" s="14" t="s">
        <v>93</v>
      </c>
      <c r="P139" s="4" t="s">
        <v>303</v>
      </c>
      <c r="Q139" s="59" t="s">
        <v>809</v>
      </c>
      <c r="R139" s="4"/>
      <c r="S139" s="50">
        <v>3</v>
      </c>
      <c r="T139" s="48">
        <v>27</v>
      </c>
      <c r="U139" s="4">
        <v>48</v>
      </c>
      <c r="V139" s="4">
        <f t="shared" si="4"/>
        <v>81</v>
      </c>
      <c r="W139" s="4">
        <f t="shared" si="5"/>
        <v>144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52">
        <v>0.42708333333333331</v>
      </c>
      <c r="I140" s="43">
        <v>0.4375</v>
      </c>
      <c r="J140" s="4">
        <v>15</v>
      </c>
      <c r="K140" s="43"/>
      <c r="L140" s="52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53">
        <v>0.25</v>
      </c>
      <c r="T140" s="48">
        <v>27</v>
      </c>
      <c r="U140" s="4">
        <v>48</v>
      </c>
      <c r="V140" s="4">
        <f t="shared" si="4"/>
        <v>6.75</v>
      </c>
      <c r="W140" s="4">
        <f t="shared" si="5"/>
        <v>12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53">
        <v>0.25</v>
      </c>
      <c r="T141" s="48">
        <v>27</v>
      </c>
      <c r="U141" s="4">
        <v>48</v>
      </c>
      <c r="V141" s="4">
        <f t="shared" si="4"/>
        <v>6.75</v>
      </c>
      <c r="W141" s="4">
        <f t="shared" si="5"/>
        <v>12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56">
        <v>0.5</v>
      </c>
      <c r="J142" s="4">
        <v>60</v>
      </c>
      <c r="K142" s="43"/>
      <c r="L142" s="43">
        <v>0.45833333333333331</v>
      </c>
      <c r="M142" s="56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50">
        <v>1.75</v>
      </c>
      <c r="T142" s="48">
        <v>27</v>
      </c>
      <c r="U142" s="4">
        <v>48</v>
      </c>
      <c r="V142" s="4">
        <f t="shared" si="4"/>
        <v>47.25</v>
      </c>
      <c r="W142" s="4">
        <f t="shared" si="5"/>
        <v>84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52">
        <v>0.47916666666666669</v>
      </c>
      <c r="I143" s="56">
        <v>0.5</v>
      </c>
      <c r="J143" s="4">
        <v>30</v>
      </c>
      <c r="K143" s="43"/>
      <c r="L143" s="52">
        <v>0.47916666666666669</v>
      </c>
      <c r="M143" s="56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50">
        <v>1</v>
      </c>
      <c r="T143" s="48">
        <v>25</v>
      </c>
      <c r="U143" s="4">
        <v>48</v>
      </c>
      <c r="V143" s="4">
        <f t="shared" si="4"/>
        <v>25</v>
      </c>
      <c r="W143" s="4">
        <f t="shared" si="5"/>
        <v>48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52">
        <v>0.4201388888888889</v>
      </c>
      <c r="I144" s="56">
        <v>0.4375</v>
      </c>
      <c r="J144" s="4">
        <v>25</v>
      </c>
      <c r="K144" s="43"/>
      <c r="L144" s="52">
        <v>0.4201388888888889</v>
      </c>
      <c r="M144" s="56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50">
        <v>1</v>
      </c>
      <c r="T144" s="4"/>
      <c r="U144" s="4">
        <v>48</v>
      </c>
      <c r="V144" s="4">
        <f t="shared" si="4"/>
        <v>0</v>
      </c>
      <c r="W144" s="4">
        <f t="shared" si="5"/>
        <v>48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52">
        <v>0.39583333333333331</v>
      </c>
      <c r="I145" s="43">
        <v>0.41666666666666663</v>
      </c>
      <c r="J145" s="4">
        <v>30</v>
      </c>
      <c r="K145" s="43"/>
      <c r="L145" s="52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53">
        <v>0.5</v>
      </c>
      <c r="T145" s="48">
        <v>25</v>
      </c>
      <c r="U145" s="4">
        <v>48</v>
      </c>
      <c r="V145" s="4">
        <f t="shared" si="4"/>
        <v>12.5</v>
      </c>
      <c r="W145" s="4">
        <f t="shared" si="5"/>
        <v>24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59" t="s">
        <v>809</v>
      </c>
      <c r="R146" s="4"/>
      <c r="S146" s="53">
        <v>0.5</v>
      </c>
      <c r="T146" s="48">
        <v>25</v>
      </c>
      <c r="U146" s="4">
        <v>48</v>
      </c>
      <c r="V146" s="4">
        <f t="shared" si="4"/>
        <v>12.5</v>
      </c>
      <c r="W146" s="4">
        <f t="shared" si="5"/>
        <v>24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56">
        <v>0.58333333333333337</v>
      </c>
      <c r="J147" s="4">
        <v>120</v>
      </c>
      <c r="K147" s="43"/>
      <c r="L147" s="45">
        <v>0.5</v>
      </c>
      <c r="M147" s="56">
        <v>0.58333333333333337</v>
      </c>
      <c r="N147" s="4">
        <v>120</v>
      </c>
      <c r="O147" s="6" t="s">
        <v>26</v>
      </c>
      <c r="P147" s="4" t="s">
        <v>175</v>
      </c>
      <c r="Q147" s="59" t="s">
        <v>809</v>
      </c>
      <c r="R147" s="4"/>
      <c r="S147" s="50">
        <v>4.5</v>
      </c>
      <c r="T147" s="48">
        <v>25</v>
      </c>
      <c r="U147" s="4">
        <v>48</v>
      </c>
      <c r="V147" s="4">
        <f t="shared" si="4"/>
        <v>112.5</v>
      </c>
      <c r="W147" s="4">
        <f t="shared" si="5"/>
        <v>216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52">
        <v>0.54166666666666663</v>
      </c>
      <c r="I148" s="44">
        <v>0.55208333333333337</v>
      </c>
      <c r="J148" s="9">
        <v>15</v>
      </c>
      <c r="K148" s="44"/>
      <c r="L148" s="52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55">
        <v>0.25</v>
      </c>
      <c r="T148" s="49">
        <v>27</v>
      </c>
      <c r="U148" s="9">
        <v>48</v>
      </c>
      <c r="V148" s="4">
        <f t="shared" si="4"/>
        <v>6.75</v>
      </c>
      <c r="W148" s="4">
        <f t="shared" si="5"/>
        <v>12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58">
        <v>0.60416666666666663</v>
      </c>
      <c r="J149" s="9">
        <v>60</v>
      </c>
      <c r="K149" s="44"/>
      <c r="L149" s="45">
        <v>0.5625</v>
      </c>
      <c r="M149" s="58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57">
        <v>1.5</v>
      </c>
      <c r="T149" s="49">
        <v>27</v>
      </c>
      <c r="U149" s="9">
        <v>48</v>
      </c>
      <c r="V149" s="4">
        <f t="shared" si="4"/>
        <v>40.5</v>
      </c>
      <c r="W149" s="4">
        <f t="shared" si="5"/>
        <v>72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52">
        <v>0.625</v>
      </c>
      <c r="I150" s="56">
        <v>0.66666666666666663</v>
      </c>
      <c r="J150" s="4">
        <v>60</v>
      </c>
      <c r="K150" s="43"/>
      <c r="L150" s="52">
        <v>0.625</v>
      </c>
      <c r="M150" s="56">
        <v>0.66666666666666663</v>
      </c>
      <c r="N150" s="4">
        <v>60</v>
      </c>
      <c r="O150" s="6" t="s">
        <v>693</v>
      </c>
      <c r="P150" s="4"/>
      <c r="Q150" s="4"/>
      <c r="R150" s="4"/>
      <c r="S150" s="50">
        <v>1</v>
      </c>
      <c r="T150" s="48">
        <v>27</v>
      </c>
      <c r="U150" s="4">
        <v>48</v>
      </c>
      <c r="V150" s="4">
        <f t="shared" si="4"/>
        <v>27</v>
      </c>
      <c r="W150" s="4">
        <f t="shared" si="5"/>
        <v>48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52">
        <v>0.58333333333333337</v>
      </c>
      <c r="I151" s="43">
        <v>0.60416666666666674</v>
      </c>
      <c r="J151" s="4">
        <v>30</v>
      </c>
      <c r="K151" s="43"/>
      <c r="L151" s="52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53">
        <v>0.5</v>
      </c>
      <c r="T151" s="48">
        <v>35</v>
      </c>
      <c r="U151" s="4">
        <v>48</v>
      </c>
      <c r="V151" s="4">
        <f t="shared" si="4"/>
        <v>17.5</v>
      </c>
      <c r="W151" s="4">
        <f t="shared" si="5"/>
        <v>24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59" t="s">
        <v>809</v>
      </c>
      <c r="R152" s="4"/>
      <c r="S152" s="53">
        <v>1</v>
      </c>
      <c r="T152" s="48">
        <v>35</v>
      </c>
      <c r="U152" s="4">
        <v>48</v>
      </c>
      <c r="V152" s="4">
        <f t="shared" si="4"/>
        <v>35</v>
      </c>
      <c r="W152" s="4">
        <f t="shared" si="5"/>
        <v>48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56">
        <v>0.64583333333333337</v>
      </c>
      <c r="J153" s="4">
        <v>30</v>
      </c>
      <c r="K153" s="43"/>
      <c r="L153" s="43">
        <v>0.625</v>
      </c>
      <c r="M153" s="56">
        <v>0.64583333333333337</v>
      </c>
      <c r="N153" s="4">
        <v>30</v>
      </c>
      <c r="O153" s="4" t="s">
        <v>53</v>
      </c>
      <c r="P153" s="4" t="s">
        <v>694</v>
      </c>
      <c r="Q153" s="59" t="s">
        <v>811</v>
      </c>
      <c r="R153" s="4"/>
      <c r="S153" s="50">
        <v>2</v>
      </c>
      <c r="T153" s="48">
        <v>35</v>
      </c>
      <c r="U153" s="4">
        <v>48</v>
      </c>
      <c r="V153" s="4">
        <f t="shared" si="4"/>
        <v>70</v>
      </c>
      <c r="W153" s="4">
        <f t="shared" si="5"/>
        <v>96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52">
        <v>0.45833333333333331</v>
      </c>
      <c r="I154" s="56">
        <v>0.47916666666666663</v>
      </c>
      <c r="J154" s="4">
        <v>30</v>
      </c>
      <c r="K154" s="43"/>
      <c r="L154" s="52">
        <v>0.45833333333333331</v>
      </c>
      <c r="M154" s="56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50">
        <v>1</v>
      </c>
      <c r="T154" s="4"/>
      <c r="U154" s="4">
        <v>48</v>
      </c>
      <c r="V154" s="4">
        <f t="shared" si="4"/>
        <v>0</v>
      </c>
      <c r="W154" s="4">
        <f t="shared" si="5"/>
        <v>48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52">
        <v>0.375</v>
      </c>
      <c r="I155" s="43">
        <v>0.38541666666666669</v>
      </c>
      <c r="J155" s="4">
        <v>15</v>
      </c>
      <c r="K155" s="43"/>
      <c r="L155" s="52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53">
        <v>0.25</v>
      </c>
      <c r="T155" s="4"/>
      <c r="U155" s="4">
        <v>48</v>
      </c>
      <c r="V155" s="4">
        <f t="shared" si="4"/>
        <v>0</v>
      </c>
      <c r="W155" s="4">
        <f t="shared" si="5"/>
        <v>12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53">
        <v>0.25</v>
      </c>
      <c r="T156" s="4"/>
      <c r="U156" s="4">
        <v>48</v>
      </c>
      <c r="V156" s="4">
        <f t="shared" si="4"/>
        <v>0</v>
      </c>
      <c r="W156" s="4">
        <f t="shared" si="5"/>
        <v>12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56">
        <v>0.45833333333333331</v>
      </c>
      <c r="J157" s="4">
        <v>90</v>
      </c>
      <c r="K157" s="43"/>
      <c r="L157" s="45">
        <v>0.39583333333333331</v>
      </c>
      <c r="M157" s="56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50">
        <v>2</v>
      </c>
      <c r="T157" s="4"/>
      <c r="U157" s="4">
        <v>48</v>
      </c>
      <c r="V157" s="4">
        <f t="shared" si="4"/>
        <v>0</v>
      </c>
      <c r="W157" s="4">
        <f t="shared" si="5"/>
        <v>96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52">
        <v>0.45833333333333331</v>
      </c>
      <c r="I158" s="46">
        <v>0.6875</v>
      </c>
      <c r="J158" s="21">
        <v>330</v>
      </c>
      <c r="K158" s="46"/>
      <c r="L158" s="52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53">
        <v>5.5</v>
      </c>
      <c r="T158" s="51">
        <v>30</v>
      </c>
      <c r="U158" s="21">
        <v>48</v>
      </c>
      <c r="V158" s="4">
        <f t="shared" si="4"/>
        <v>165</v>
      </c>
      <c r="W158" s="4">
        <f t="shared" si="5"/>
        <v>264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56">
        <v>0.69791666666666663</v>
      </c>
      <c r="J159" s="4">
        <v>15</v>
      </c>
      <c r="K159" s="43"/>
      <c r="L159" s="45">
        <v>0.6875</v>
      </c>
      <c r="M159" s="56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50">
        <v>5.75</v>
      </c>
      <c r="T159" s="48">
        <v>30</v>
      </c>
      <c r="U159" s="4">
        <v>48</v>
      </c>
      <c r="V159" s="4">
        <f t="shared" si="4"/>
        <v>172.5</v>
      </c>
      <c r="W159" s="4">
        <f t="shared" si="5"/>
        <v>276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52">
        <v>0.39583333333333331</v>
      </c>
      <c r="I160" s="43">
        <v>0.40625</v>
      </c>
      <c r="J160" s="4">
        <v>15</v>
      </c>
      <c r="K160" s="43"/>
      <c r="L160" s="52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53">
        <v>0.25</v>
      </c>
      <c r="T160" s="48">
        <v>25</v>
      </c>
      <c r="U160" s="4">
        <v>48</v>
      </c>
      <c r="V160" s="4">
        <f t="shared" si="4"/>
        <v>6.25</v>
      </c>
      <c r="W160" s="4">
        <f t="shared" si="5"/>
        <v>12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59" t="s">
        <v>809</v>
      </c>
      <c r="R161" s="4"/>
      <c r="S161" s="53">
        <v>0.5</v>
      </c>
      <c r="T161" s="48">
        <v>25</v>
      </c>
      <c r="U161" s="4">
        <v>48</v>
      </c>
      <c r="V161" s="4">
        <f t="shared" si="4"/>
        <v>12.5</v>
      </c>
      <c r="W161" s="4">
        <f t="shared" si="5"/>
        <v>24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59" t="s">
        <v>809</v>
      </c>
      <c r="R162" s="4"/>
      <c r="S162" s="53">
        <v>2.5</v>
      </c>
      <c r="T162" s="48">
        <v>25</v>
      </c>
      <c r="U162" s="4">
        <v>48</v>
      </c>
      <c r="V162" s="4">
        <f t="shared" si="4"/>
        <v>62.5</v>
      </c>
      <c r="W162" s="4">
        <f t="shared" si="5"/>
        <v>120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59" t="s">
        <v>811</v>
      </c>
      <c r="R163" s="4"/>
      <c r="S163" s="53">
        <v>0</v>
      </c>
      <c r="T163" s="48">
        <v>25</v>
      </c>
      <c r="U163" s="4">
        <v>48</v>
      </c>
      <c r="V163" s="4">
        <f t="shared" si="4"/>
        <v>0</v>
      </c>
      <c r="W163" s="4">
        <f t="shared" si="5"/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56">
        <v>0.60416666666666674</v>
      </c>
      <c r="J164" s="4">
        <v>30</v>
      </c>
      <c r="K164" s="43"/>
      <c r="L164" s="43">
        <v>0.58333333333333337</v>
      </c>
      <c r="M164" s="56">
        <v>0.60416666666666674</v>
      </c>
      <c r="N164" s="4">
        <v>30</v>
      </c>
      <c r="O164" s="4" t="s">
        <v>110</v>
      </c>
      <c r="P164" s="4" t="s">
        <v>447</v>
      </c>
      <c r="Q164" s="59" t="s">
        <v>811</v>
      </c>
      <c r="R164" s="4"/>
      <c r="S164" s="50">
        <v>5.5</v>
      </c>
      <c r="T164" s="48">
        <v>25</v>
      </c>
      <c r="U164" s="4">
        <v>48</v>
      </c>
      <c r="V164" s="4">
        <f t="shared" si="4"/>
        <v>137.5</v>
      </c>
      <c r="W164" s="4">
        <f t="shared" si="5"/>
        <v>264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52">
        <v>0.35416666666666669</v>
      </c>
      <c r="I165" s="56">
        <v>0.45833333333333331</v>
      </c>
      <c r="J165" s="4">
        <v>150</v>
      </c>
      <c r="K165" s="43"/>
      <c r="L165" s="52">
        <v>0.35416666666666669</v>
      </c>
      <c r="M165" s="56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50">
        <v>2.5</v>
      </c>
      <c r="T165" s="48">
        <v>25</v>
      </c>
      <c r="U165" s="4">
        <v>48</v>
      </c>
      <c r="V165" s="4">
        <f t="shared" si="4"/>
        <v>62.5</v>
      </c>
      <c r="W165" s="4">
        <f t="shared" si="5"/>
        <v>120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52">
        <v>0.52777777777777779</v>
      </c>
      <c r="I166" s="56">
        <v>0.63194444444444442</v>
      </c>
      <c r="J166" s="4">
        <v>150</v>
      </c>
      <c r="K166" s="43"/>
      <c r="L166" s="52">
        <v>0.52777777777777779</v>
      </c>
      <c r="M166" s="56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50">
        <v>2.5</v>
      </c>
      <c r="T166" s="48">
        <v>25</v>
      </c>
      <c r="U166" s="4">
        <v>48</v>
      </c>
      <c r="V166" s="4">
        <f t="shared" si="4"/>
        <v>62.5</v>
      </c>
      <c r="W166" s="4">
        <f t="shared" si="5"/>
        <v>120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52">
        <v>0.625</v>
      </c>
      <c r="I167" s="43">
        <v>0.63541666666666663</v>
      </c>
      <c r="J167" s="4">
        <v>15</v>
      </c>
      <c r="K167" s="43"/>
      <c r="L167" s="52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53">
        <v>0.25</v>
      </c>
      <c r="T167" s="48">
        <v>27</v>
      </c>
      <c r="U167" s="4">
        <v>48</v>
      </c>
      <c r="V167" s="4">
        <f t="shared" si="4"/>
        <v>6.75</v>
      </c>
      <c r="W167" s="4">
        <f t="shared" si="5"/>
        <v>12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56">
        <v>0.77083333333333326</v>
      </c>
      <c r="J168" s="4">
        <v>150</v>
      </c>
      <c r="K168" s="43"/>
      <c r="L168" s="43">
        <v>0.66666666666666663</v>
      </c>
      <c r="M168" s="56">
        <v>0.77083333333333326</v>
      </c>
      <c r="N168" s="4">
        <v>150</v>
      </c>
      <c r="O168" s="4" t="s">
        <v>26</v>
      </c>
      <c r="P168" s="4" t="s">
        <v>464</v>
      </c>
      <c r="Q168" s="59" t="s">
        <v>809</v>
      </c>
      <c r="R168" s="4"/>
      <c r="S168" s="50">
        <v>3.5</v>
      </c>
      <c r="T168" s="48">
        <v>27</v>
      </c>
      <c r="U168" s="4">
        <v>48</v>
      </c>
      <c r="V168" s="4">
        <f t="shared" si="4"/>
        <v>94.5</v>
      </c>
      <c r="W168" s="4">
        <f t="shared" si="5"/>
        <v>168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52">
        <v>0.41666666666666669</v>
      </c>
      <c r="I169" s="56">
        <v>0.45833333333333337</v>
      </c>
      <c r="J169" s="4">
        <v>60</v>
      </c>
      <c r="K169" s="43"/>
      <c r="L169" s="52">
        <v>0.41666666666666669</v>
      </c>
      <c r="M169" s="56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50">
        <v>1</v>
      </c>
      <c r="T169" s="48">
        <v>27</v>
      </c>
      <c r="U169" s="4">
        <v>48</v>
      </c>
      <c r="V169" s="4">
        <f t="shared" si="4"/>
        <v>27</v>
      </c>
      <c r="W169" s="4">
        <f t="shared" si="5"/>
        <v>48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52">
        <v>0.64583333333333337</v>
      </c>
      <c r="I170" s="56">
        <v>0.66666666666666674</v>
      </c>
      <c r="J170" s="4">
        <v>30</v>
      </c>
      <c r="K170" s="43"/>
      <c r="L170" s="52">
        <v>0.64583333333333337</v>
      </c>
      <c r="M170" s="56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50">
        <v>1</v>
      </c>
      <c r="T170" s="48">
        <v>27</v>
      </c>
      <c r="U170" s="4">
        <v>48</v>
      </c>
      <c r="V170" s="4">
        <f t="shared" si="4"/>
        <v>27</v>
      </c>
      <c r="W170" s="4">
        <f t="shared" si="5"/>
        <v>48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52">
        <v>0.5</v>
      </c>
      <c r="I171" s="56">
        <v>0.6875</v>
      </c>
      <c r="J171" s="4">
        <v>270</v>
      </c>
      <c r="K171" s="43"/>
      <c r="L171" s="52">
        <v>0.5</v>
      </c>
      <c r="M171" s="56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50">
        <v>4.5</v>
      </c>
      <c r="T171" s="48">
        <v>27</v>
      </c>
      <c r="U171" s="4">
        <v>48</v>
      </c>
      <c r="V171" s="4">
        <f t="shared" si="4"/>
        <v>121.5</v>
      </c>
      <c r="W171" s="4">
        <f t="shared" si="5"/>
        <v>216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52">
        <v>0.375</v>
      </c>
      <c r="I172" s="43">
        <v>0.39583333333333331</v>
      </c>
      <c r="J172" s="4">
        <v>30</v>
      </c>
      <c r="K172" s="43"/>
      <c r="L172" s="52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53">
        <v>0.5</v>
      </c>
      <c r="T172" s="48">
        <v>27</v>
      </c>
      <c r="U172" s="4">
        <v>48</v>
      </c>
      <c r="V172" s="4">
        <f t="shared" si="4"/>
        <v>13.5</v>
      </c>
      <c r="W172" s="4">
        <f t="shared" si="5"/>
        <v>24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53">
        <v>0.5</v>
      </c>
      <c r="T173" s="48">
        <v>27</v>
      </c>
      <c r="U173" s="4">
        <v>48</v>
      </c>
      <c r="V173" s="4">
        <f t="shared" si="4"/>
        <v>13.5</v>
      </c>
      <c r="W173" s="4">
        <f t="shared" si="5"/>
        <v>24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56">
        <v>0.5</v>
      </c>
      <c r="J174" s="4">
        <v>90</v>
      </c>
      <c r="K174" s="43"/>
      <c r="L174" s="43">
        <v>0.4375</v>
      </c>
      <c r="M174" s="56">
        <v>0.5</v>
      </c>
      <c r="N174" s="4">
        <v>90</v>
      </c>
      <c r="O174" s="4" t="s">
        <v>26</v>
      </c>
      <c r="P174" s="4" t="s">
        <v>192</v>
      </c>
      <c r="Q174" s="59" t="s">
        <v>809</v>
      </c>
      <c r="R174" s="4"/>
      <c r="S174" s="50">
        <v>3</v>
      </c>
      <c r="T174" s="48">
        <v>27</v>
      </c>
      <c r="U174" s="4">
        <v>48</v>
      </c>
      <c r="V174" s="4">
        <f t="shared" si="4"/>
        <v>81</v>
      </c>
      <c r="W174" s="4">
        <f t="shared" si="5"/>
        <v>144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52">
        <v>0.55208333333333337</v>
      </c>
      <c r="I175" s="43">
        <v>0.5625</v>
      </c>
      <c r="J175" s="4">
        <v>15</v>
      </c>
      <c r="K175" s="43"/>
      <c r="L175" s="52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53">
        <v>0.25</v>
      </c>
      <c r="T175" s="48">
        <v>27</v>
      </c>
      <c r="U175" s="4">
        <v>48</v>
      </c>
      <c r="V175" s="4">
        <f t="shared" si="4"/>
        <v>6.75</v>
      </c>
      <c r="W175" s="4">
        <f t="shared" si="5"/>
        <v>12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56">
        <v>0.61111111111111105</v>
      </c>
      <c r="J176" s="4">
        <v>60</v>
      </c>
      <c r="K176" s="43"/>
      <c r="L176" s="45">
        <v>0.56944444444444442</v>
      </c>
      <c r="M176" s="56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50">
        <v>1.5</v>
      </c>
      <c r="T176" s="48">
        <v>27</v>
      </c>
      <c r="U176" s="4">
        <v>48</v>
      </c>
      <c r="V176" s="4">
        <f t="shared" si="4"/>
        <v>40.5</v>
      </c>
      <c r="W176" s="4">
        <f t="shared" si="5"/>
        <v>72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52">
        <v>0.6875</v>
      </c>
      <c r="I177" s="56">
        <v>0.70833333333333337</v>
      </c>
      <c r="J177" s="4">
        <v>30</v>
      </c>
      <c r="K177" s="43"/>
      <c r="L177" s="52">
        <v>0.6875</v>
      </c>
      <c r="M177" s="56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50">
        <v>1</v>
      </c>
      <c r="T177" s="48">
        <v>35</v>
      </c>
      <c r="U177" s="4">
        <v>48</v>
      </c>
      <c r="V177" s="4">
        <f t="shared" si="4"/>
        <v>35</v>
      </c>
      <c r="W177" s="4">
        <f t="shared" si="5"/>
        <v>48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52">
        <v>0.29166666666666669</v>
      </c>
      <c r="I178" s="43">
        <v>0.30208333333333331</v>
      </c>
      <c r="J178" s="4">
        <v>15</v>
      </c>
      <c r="K178" s="43"/>
      <c r="L178" s="52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53">
        <v>0.25</v>
      </c>
      <c r="T178" s="48">
        <v>35</v>
      </c>
      <c r="U178" s="4">
        <v>48</v>
      </c>
      <c r="V178" s="4">
        <f t="shared" si="4"/>
        <v>8.75</v>
      </c>
      <c r="W178" s="4">
        <f t="shared" si="5"/>
        <v>12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53">
        <v>2</v>
      </c>
      <c r="T179" s="48">
        <v>35</v>
      </c>
      <c r="U179" s="4">
        <v>48</v>
      </c>
      <c r="V179" s="4">
        <f t="shared" si="4"/>
        <v>70</v>
      </c>
      <c r="W179" s="4">
        <f t="shared" si="5"/>
        <v>96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56">
        <v>0.45833333333333331</v>
      </c>
      <c r="J180" s="4">
        <v>120</v>
      </c>
      <c r="K180" s="43"/>
      <c r="L180" s="45">
        <v>0.39583333333333331</v>
      </c>
      <c r="M180" s="56">
        <v>0.45833333333333331</v>
      </c>
      <c r="N180" s="4">
        <v>120</v>
      </c>
      <c r="O180" s="6" t="s">
        <v>115</v>
      </c>
      <c r="P180" s="4"/>
      <c r="Q180" s="4"/>
      <c r="R180" s="4"/>
      <c r="S180" s="50">
        <v>4</v>
      </c>
      <c r="T180" s="48">
        <v>35</v>
      </c>
      <c r="U180" s="4">
        <v>48</v>
      </c>
      <c r="V180" s="4">
        <f t="shared" si="4"/>
        <v>140</v>
      </c>
      <c r="W180" s="4">
        <f t="shared" si="5"/>
        <v>192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52">
        <v>0.54166666666666663</v>
      </c>
      <c r="I181" s="56">
        <v>0.5625</v>
      </c>
      <c r="J181" s="4">
        <v>30</v>
      </c>
      <c r="K181" s="43"/>
      <c r="L181" s="52">
        <v>0.54166666666666663</v>
      </c>
      <c r="M181" s="56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50">
        <v>1</v>
      </c>
      <c r="T181" s="48">
        <v>30</v>
      </c>
      <c r="U181" s="4">
        <v>48</v>
      </c>
      <c r="V181" s="4">
        <f t="shared" si="4"/>
        <v>30</v>
      </c>
      <c r="W181" s="4">
        <f t="shared" si="5"/>
        <v>48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52">
        <v>0.5</v>
      </c>
      <c r="I182" s="56">
        <v>0.6875</v>
      </c>
      <c r="J182" s="4">
        <v>270</v>
      </c>
      <c r="K182" s="43"/>
      <c r="L182" s="52">
        <v>0.5</v>
      </c>
      <c r="M182" s="56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50">
        <v>4.5</v>
      </c>
      <c r="T182" s="48">
        <v>30</v>
      </c>
      <c r="U182" s="4">
        <v>48</v>
      </c>
      <c r="V182" s="4">
        <f t="shared" si="4"/>
        <v>135</v>
      </c>
      <c r="W182" s="4">
        <f t="shared" si="5"/>
        <v>216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52">
        <v>0.46875</v>
      </c>
      <c r="I183" s="56">
        <v>0.5</v>
      </c>
      <c r="J183" s="4">
        <v>45</v>
      </c>
      <c r="K183" s="43"/>
      <c r="L183" s="52">
        <v>0.46875</v>
      </c>
      <c r="M183" s="56">
        <v>0.5</v>
      </c>
      <c r="N183" s="4">
        <v>45</v>
      </c>
      <c r="O183" s="6" t="s">
        <v>290</v>
      </c>
      <c r="P183" s="4"/>
      <c r="Q183" s="4"/>
      <c r="R183" s="4"/>
      <c r="S183" s="50">
        <v>1</v>
      </c>
      <c r="T183" s="48">
        <v>30</v>
      </c>
      <c r="U183" s="4">
        <v>48</v>
      </c>
      <c r="V183" s="4">
        <f t="shared" si="4"/>
        <v>30</v>
      </c>
      <c r="W183" s="4">
        <f t="shared" si="5"/>
        <v>48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52">
        <v>0.3125</v>
      </c>
      <c r="I184" s="56">
        <v>0.41666666666666669</v>
      </c>
      <c r="J184" s="4">
        <v>150</v>
      </c>
      <c r="K184" s="43"/>
      <c r="L184" s="52">
        <v>0.3125</v>
      </c>
      <c r="M184" s="56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50">
        <v>2.5</v>
      </c>
      <c r="T184" s="48">
        <v>30</v>
      </c>
      <c r="U184" s="4">
        <v>48</v>
      </c>
      <c r="V184" s="4">
        <f t="shared" si="4"/>
        <v>75</v>
      </c>
      <c r="W184" s="4">
        <f t="shared" si="5"/>
        <v>120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52">
        <v>0.45833333333333331</v>
      </c>
      <c r="I185" s="43">
        <v>0.48958333333333331</v>
      </c>
      <c r="J185" s="4">
        <v>45</v>
      </c>
      <c r="K185" s="43"/>
      <c r="L185" s="52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53">
        <v>0.75</v>
      </c>
      <c r="T185" s="48">
        <v>30</v>
      </c>
      <c r="U185" s="4">
        <v>48</v>
      </c>
      <c r="V185" s="4">
        <f t="shared" si="4"/>
        <v>22.5</v>
      </c>
      <c r="W185" s="4">
        <f t="shared" si="5"/>
        <v>36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56">
        <v>0.58333333333333326</v>
      </c>
      <c r="J186" s="4">
        <v>60</v>
      </c>
      <c r="K186" s="43"/>
      <c r="L186" s="43">
        <v>0.54166666666666663</v>
      </c>
      <c r="M186" s="56">
        <v>0.58333333333333326</v>
      </c>
      <c r="N186" s="4">
        <v>60</v>
      </c>
      <c r="O186" s="4" t="s">
        <v>110</v>
      </c>
      <c r="P186" s="4" t="s">
        <v>221</v>
      </c>
      <c r="Q186" s="59" t="s">
        <v>809</v>
      </c>
      <c r="R186" s="4"/>
      <c r="S186" s="50">
        <v>3</v>
      </c>
      <c r="T186" s="48">
        <v>30</v>
      </c>
      <c r="U186" s="4">
        <v>48</v>
      </c>
      <c r="V186" s="4">
        <f t="shared" si="4"/>
        <v>90</v>
      </c>
      <c r="W186" s="4">
        <f t="shared" si="5"/>
        <v>144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52">
        <v>0.70833333333333337</v>
      </c>
      <c r="I187" s="56">
        <v>0.75</v>
      </c>
      <c r="J187" s="4">
        <v>60</v>
      </c>
      <c r="K187" s="43"/>
      <c r="L187" s="52">
        <v>0.70833333333333337</v>
      </c>
      <c r="M187" s="56">
        <v>0.75</v>
      </c>
      <c r="N187" s="4">
        <v>60</v>
      </c>
      <c r="O187" s="6" t="s">
        <v>26</v>
      </c>
      <c r="P187" s="4"/>
      <c r="Q187" s="4"/>
      <c r="R187" s="4"/>
      <c r="S187" s="50">
        <v>1</v>
      </c>
      <c r="T187" s="48">
        <v>30</v>
      </c>
      <c r="U187" s="4">
        <v>48</v>
      </c>
      <c r="V187" s="4">
        <f t="shared" si="4"/>
        <v>30</v>
      </c>
      <c r="W187" s="4">
        <f t="shared" si="5"/>
        <v>48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52">
        <v>0.6875</v>
      </c>
      <c r="I188" s="43">
        <v>0.70833333333333337</v>
      </c>
      <c r="J188" s="4">
        <v>60</v>
      </c>
      <c r="K188" s="43"/>
      <c r="L188" s="52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53">
        <v>0.5</v>
      </c>
      <c r="T188" s="48">
        <v>30</v>
      </c>
      <c r="U188" s="4">
        <v>48</v>
      </c>
      <c r="V188" s="4">
        <f t="shared" si="4"/>
        <v>15</v>
      </c>
      <c r="W188" s="4">
        <f t="shared" si="5"/>
        <v>24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56">
        <v>0.83333333333333337</v>
      </c>
      <c r="J189" s="4">
        <v>90</v>
      </c>
      <c r="K189" s="43"/>
      <c r="L189" s="45">
        <v>0.77083333333333337</v>
      </c>
      <c r="M189" s="56">
        <v>0.83333333333333337</v>
      </c>
      <c r="N189" s="4">
        <v>90</v>
      </c>
      <c r="O189" s="6" t="s">
        <v>26</v>
      </c>
      <c r="P189" s="4" t="s">
        <v>711</v>
      </c>
      <c r="Q189" s="59" t="s">
        <v>809</v>
      </c>
      <c r="R189" s="4"/>
      <c r="S189" s="50">
        <v>3.5</v>
      </c>
      <c r="T189" s="48">
        <v>30</v>
      </c>
      <c r="U189" s="4">
        <v>48</v>
      </c>
      <c r="V189" s="4">
        <f t="shared" si="4"/>
        <v>105</v>
      </c>
      <c r="W189" s="4">
        <f t="shared" si="5"/>
        <v>168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52">
        <v>0.35416666666666669</v>
      </c>
      <c r="I190" s="43">
        <v>0.375</v>
      </c>
      <c r="J190" s="4">
        <v>30</v>
      </c>
      <c r="K190" s="43"/>
      <c r="L190" s="52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53">
        <v>0.5</v>
      </c>
      <c r="T190" s="48">
        <v>30</v>
      </c>
      <c r="U190" s="4">
        <v>48</v>
      </c>
      <c r="V190" s="4">
        <f t="shared" si="4"/>
        <v>15</v>
      </c>
      <c r="W190" s="4">
        <f t="shared" si="5"/>
        <v>24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56">
        <v>0.4375</v>
      </c>
      <c r="J191" s="4">
        <v>60</v>
      </c>
      <c r="K191" s="43"/>
      <c r="L191" s="45">
        <v>0.39583333333333331</v>
      </c>
      <c r="M191" s="56">
        <v>0.4375</v>
      </c>
      <c r="N191" s="4">
        <v>60</v>
      </c>
      <c r="O191" s="6" t="s">
        <v>26</v>
      </c>
      <c r="P191" s="4" t="s">
        <v>463</v>
      </c>
      <c r="Q191" s="59" t="s">
        <v>809</v>
      </c>
      <c r="R191" s="4"/>
      <c r="S191" s="50">
        <v>2</v>
      </c>
      <c r="T191" s="48">
        <v>30</v>
      </c>
      <c r="U191" s="4">
        <v>48</v>
      </c>
      <c r="V191" s="4">
        <f t="shared" si="4"/>
        <v>60</v>
      </c>
      <c r="W191" s="4">
        <f t="shared" si="5"/>
        <v>96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52">
        <v>0.39583333333333331</v>
      </c>
      <c r="I192" s="43">
        <v>0.40625</v>
      </c>
      <c r="J192" s="4">
        <v>15</v>
      </c>
      <c r="K192" s="43"/>
      <c r="L192" s="52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53">
        <v>0.25</v>
      </c>
      <c r="T192" s="48">
        <v>30</v>
      </c>
      <c r="U192" s="4">
        <v>48</v>
      </c>
      <c r="V192" s="4">
        <f t="shared" si="4"/>
        <v>7.5</v>
      </c>
      <c r="W192" s="4">
        <f t="shared" si="5"/>
        <v>12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53">
        <v>0.75</v>
      </c>
      <c r="T193" s="48">
        <v>30</v>
      </c>
      <c r="U193" s="4">
        <v>48</v>
      </c>
      <c r="V193" s="4">
        <f t="shared" si="4"/>
        <v>22.5</v>
      </c>
      <c r="W193" s="4">
        <f t="shared" si="5"/>
        <v>36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56">
        <v>0.4375</v>
      </c>
      <c r="J194" s="4">
        <v>15</v>
      </c>
      <c r="K194" s="43"/>
      <c r="L194" s="45">
        <v>0.42708333333333331</v>
      </c>
      <c r="M194" s="56">
        <v>0.4375</v>
      </c>
      <c r="N194" s="4">
        <v>15</v>
      </c>
      <c r="O194" s="6" t="s">
        <v>46</v>
      </c>
      <c r="P194" s="4" t="s">
        <v>47</v>
      </c>
      <c r="Q194" s="59" t="s">
        <v>811</v>
      </c>
      <c r="R194" s="4"/>
      <c r="S194" s="50">
        <v>1</v>
      </c>
      <c r="T194" s="48">
        <v>30</v>
      </c>
      <c r="U194" s="4">
        <v>48</v>
      </c>
      <c r="V194" s="4">
        <f t="shared" ref="V194:V216" si="6">T194*S194</f>
        <v>30</v>
      </c>
      <c r="W194" s="4">
        <f t="shared" ref="W194:W216" si="7">U194*S194</f>
        <v>48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52">
        <v>0.5</v>
      </c>
      <c r="I195" s="43">
        <v>0.6875</v>
      </c>
      <c r="J195" s="4">
        <v>270</v>
      </c>
      <c r="K195" s="43"/>
      <c r="L195" s="52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53">
        <v>4.5</v>
      </c>
      <c r="T195" s="48">
        <v>30</v>
      </c>
      <c r="U195" s="4">
        <v>48</v>
      </c>
      <c r="V195" s="4">
        <f t="shared" si="6"/>
        <v>135</v>
      </c>
      <c r="W195" s="4">
        <f t="shared" si="7"/>
        <v>216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56">
        <v>0.58333333333333337</v>
      </c>
      <c r="J196" s="4">
        <v>30</v>
      </c>
      <c r="K196" s="43"/>
      <c r="L196" s="43">
        <v>0.5625</v>
      </c>
      <c r="M196" s="56">
        <v>0.58333333333333337</v>
      </c>
      <c r="N196" s="4">
        <v>30</v>
      </c>
      <c r="O196" s="4" t="s">
        <v>110</v>
      </c>
      <c r="P196" s="4" t="s">
        <v>160</v>
      </c>
      <c r="Q196" s="59" t="s">
        <v>811</v>
      </c>
      <c r="R196" s="4"/>
      <c r="S196" s="50">
        <v>4.5</v>
      </c>
      <c r="T196" s="48">
        <v>30</v>
      </c>
      <c r="U196" s="4">
        <v>48</v>
      </c>
      <c r="V196" s="4">
        <f t="shared" si="6"/>
        <v>135</v>
      </c>
      <c r="W196" s="4">
        <f t="shared" si="7"/>
        <v>216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52">
        <v>0.4375</v>
      </c>
      <c r="I197" s="43">
        <v>0.45833333333333331</v>
      </c>
      <c r="J197" s="4">
        <v>30</v>
      </c>
      <c r="K197" s="43"/>
      <c r="L197" s="52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53">
        <v>0.5</v>
      </c>
      <c r="T197" s="48">
        <v>30</v>
      </c>
      <c r="U197" s="4">
        <v>48</v>
      </c>
      <c r="V197" s="4">
        <f t="shared" si="6"/>
        <v>15</v>
      </c>
      <c r="W197" s="4">
        <f t="shared" si="7"/>
        <v>24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59" t="s">
        <v>809</v>
      </c>
      <c r="R198" s="4"/>
      <c r="S198" s="53">
        <v>6</v>
      </c>
      <c r="T198" s="48">
        <v>30</v>
      </c>
      <c r="U198" s="4">
        <v>48</v>
      </c>
      <c r="V198" s="4">
        <f t="shared" si="6"/>
        <v>180</v>
      </c>
      <c r="W198" s="4">
        <f t="shared" si="7"/>
        <v>288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56">
        <v>0.73958333333333337</v>
      </c>
      <c r="J199" s="4">
        <v>15</v>
      </c>
      <c r="K199" s="43"/>
      <c r="L199" s="43">
        <v>0.72916666666666663</v>
      </c>
      <c r="M199" s="56">
        <v>0.73958333333333337</v>
      </c>
      <c r="N199" s="4">
        <v>15</v>
      </c>
      <c r="O199" s="4" t="s">
        <v>26</v>
      </c>
      <c r="P199" s="4"/>
      <c r="Q199" s="4"/>
      <c r="R199" s="4"/>
      <c r="S199" s="50">
        <v>7.25</v>
      </c>
      <c r="T199" s="48">
        <v>30</v>
      </c>
      <c r="U199" s="4">
        <v>48</v>
      </c>
      <c r="V199" s="4">
        <f t="shared" si="6"/>
        <v>217.5</v>
      </c>
      <c r="W199" s="4">
        <f t="shared" si="7"/>
        <v>348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52">
        <v>0.35416666666666669</v>
      </c>
      <c r="I200" s="56">
        <v>0.45833333333333331</v>
      </c>
      <c r="J200" s="4">
        <v>150</v>
      </c>
      <c r="K200" s="43"/>
      <c r="L200" s="52">
        <v>0.35416666666666669</v>
      </c>
      <c r="M200" s="56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50">
        <v>2.5</v>
      </c>
      <c r="T200" s="4"/>
      <c r="U200" s="4">
        <v>48</v>
      </c>
      <c r="V200" s="4">
        <f t="shared" si="6"/>
        <v>0</v>
      </c>
      <c r="W200" s="4">
        <f t="shared" si="7"/>
        <v>120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52">
        <v>0.5625</v>
      </c>
      <c r="I201" s="56">
        <v>0.58333333333333337</v>
      </c>
      <c r="J201" s="4">
        <v>30</v>
      </c>
      <c r="K201" s="43"/>
      <c r="L201" s="52">
        <v>0.5625</v>
      </c>
      <c r="M201" s="56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50">
        <v>1</v>
      </c>
      <c r="T201" s="48">
        <v>40</v>
      </c>
      <c r="U201" s="4">
        <v>48</v>
      </c>
      <c r="V201" s="4">
        <f t="shared" si="6"/>
        <v>40</v>
      </c>
      <c r="W201" s="4">
        <f t="shared" si="7"/>
        <v>48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52">
        <v>0.375</v>
      </c>
      <c r="I202" s="43">
        <v>0.41666666666666669</v>
      </c>
      <c r="J202" s="4">
        <v>60</v>
      </c>
      <c r="K202" s="43"/>
      <c r="L202" s="52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53">
        <v>1</v>
      </c>
      <c r="T202" s="48">
        <v>30</v>
      </c>
      <c r="U202" s="4">
        <v>48</v>
      </c>
      <c r="V202" s="4">
        <f t="shared" si="6"/>
        <v>30</v>
      </c>
      <c r="W202" s="4">
        <f t="shared" si="7"/>
        <v>48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56">
        <v>0.52083333333333337</v>
      </c>
      <c r="J203" s="4">
        <v>150</v>
      </c>
      <c r="K203" s="43"/>
      <c r="L203" s="45">
        <v>0.41666666666666669</v>
      </c>
      <c r="M203" s="56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50">
        <v>3.5</v>
      </c>
      <c r="T203" s="48">
        <v>30</v>
      </c>
      <c r="U203" s="4">
        <v>48</v>
      </c>
      <c r="V203" s="4">
        <f t="shared" si="6"/>
        <v>105</v>
      </c>
      <c r="W203" s="4">
        <f t="shared" si="7"/>
        <v>168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52">
        <v>0.66666666666666663</v>
      </c>
      <c r="I204" s="56">
        <v>0.6875</v>
      </c>
      <c r="J204" s="4">
        <v>30</v>
      </c>
      <c r="K204" s="43"/>
      <c r="L204" s="52">
        <v>0.66666666666666663</v>
      </c>
      <c r="M204" s="56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50">
        <v>1</v>
      </c>
      <c r="T204" s="48">
        <v>30</v>
      </c>
      <c r="U204" s="4">
        <v>48</v>
      </c>
      <c r="V204" s="4">
        <f t="shared" si="6"/>
        <v>30</v>
      </c>
      <c r="W204" s="4">
        <f t="shared" si="7"/>
        <v>48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52">
        <v>0.41666666666666669</v>
      </c>
      <c r="I205" s="56">
        <v>0.42708333333333337</v>
      </c>
      <c r="J205" s="4">
        <v>15</v>
      </c>
      <c r="K205" s="43"/>
      <c r="L205" s="52">
        <v>0.41666666666666669</v>
      </c>
      <c r="M205" s="56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50">
        <v>1</v>
      </c>
      <c r="T205" s="48">
        <v>30</v>
      </c>
      <c r="U205" s="4">
        <v>48</v>
      </c>
      <c r="V205" s="4">
        <f t="shared" si="6"/>
        <v>30</v>
      </c>
      <c r="W205" s="4">
        <f t="shared" si="7"/>
        <v>48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52">
        <v>0.5625</v>
      </c>
      <c r="I206" s="43">
        <v>0.58333333333333337</v>
      </c>
      <c r="J206" s="4">
        <v>30</v>
      </c>
      <c r="K206" s="43"/>
      <c r="L206" s="52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53">
        <v>0.5</v>
      </c>
      <c r="T206" s="48">
        <v>32</v>
      </c>
      <c r="U206" s="4">
        <v>48</v>
      </c>
      <c r="V206" s="4">
        <f t="shared" si="6"/>
        <v>16</v>
      </c>
      <c r="W206" s="4">
        <f t="shared" si="7"/>
        <v>24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56">
        <v>0.8125</v>
      </c>
      <c r="J207" s="4">
        <v>300</v>
      </c>
      <c r="K207" s="43"/>
      <c r="L207" s="45">
        <v>0.60416666666666663</v>
      </c>
      <c r="M207" s="56">
        <v>0.8125</v>
      </c>
      <c r="N207" s="4">
        <v>300</v>
      </c>
      <c r="O207" s="6" t="s">
        <v>26</v>
      </c>
      <c r="P207" s="4" t="s">
        <v>535</v>
      </c>
      <c r="Q207" s="59" t="s">
        <v>809</v>
      </c>
      <c r="R207" s="4"/>
      <c r="S207" s="50">
        <v>6</v>
      </c>
      <c r="T207" s="48">
        <v>32</v>
      </c>
      <c r="U207" s="4">
        <v>48</v>
      </c>
      <c r="V207" s="4">
        <f t="shared" si="6"/>
        <v>192</v>
      </c>
      <c r="W207" s="4">
        <f t="shared" si="7"/>
        <v>288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52">
        <v>0.45833333333333331</v>
      </c>
      <c r="I208" s="56">
        <v>0.5</v>
      </c>
      <c r="J208" s="4">
        <v>60</v>
      </c>
      <c r="K208" s="43"/>
      <c r="L208" s="52">
        <v>0.45833333333333331</v>
      </c>
      <c r="M208" s="56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50">
        <v>1</v>
      </c>
      <c r="T208" s="48">
        <v>32</v>
      </c>
      <c r="U208" s="4">
        <v>48</v>
      </c>
      <c r="V208" s="4">
        <f t="shared" si="6"/>
        <v>32</v>
      </c>
      <c r="W208" s="4">
        <f t="shared" si="7"/>
        <v>48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52">
        <v>0.41666666666666669</v>
      </c>
      <c r="I209" s="56">
        <v>0.45833333333333337</v>
      </c>
      <c r="J209" s="4">
        <v>60</v>
      </c>
      <c r="K209" s="43"/>
      <c r="L209" s="52">
        <v>0.41666666666666669</v>
      </c>
      <c r="M209" s="56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50">
        <v>1</v>
      </c>
      <c r="T209" s="48">
        <v>32</v>
      </c>
      <c r="U209" s="4">
        <v>48</v>
      </c>
      <c r="V209" s="4">
        <f t="shared" si="6"/>
        <v>32</v>
      </c>
      <c r="W209" s="4">
        <f t="shared" si="7"/>
        <v>48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52">
        <v>0.41666666666666669</v>
      </c>
      <c r="I210" s="43">
        <v>0.4375</v>
      </c>
      <c r="J210" s="4">
        <v>30</v>
      </c>
      <c r="K210" s="43"/>
      <c r="L210" s="52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53">
        <v>0.5</v>
      </c>
      <c r="T210" s="48">
        <v>38</v>
      </c>
      <c r="U210" s="4">
        <v>48</v>
      </c>
      <c r="V210" s="4">
        <f t="shared" si="6"/>
        <v>19</v>
      </c>
      <c r="W210" s="4">
        <f t="shared" si="7"/>
        <v>24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56">
        <v>0.58333333333333337</v>
      </c>
      <c r="J211" s="4">
        <v>150</v>
      </c>
      <c r="K211" s="43"/>
      <c r="L211" s="45">
        <v>0.47916666666666669</v>
      </c>
      <c r="M211" s="56">
        <v>0.58333333333333337</v>
      </c>
      <c r="N211" s="4">
        <v>150</v>
      </c>
      <c r="O211" s="6" t="s">
        <v>323</v>
      </c>
      <c r="P211" s="4" t="s">
        <v>632</v>
      </c>
      <c r="Q211" s="59" t="s">
        <v>809</v>
      </c>
      <c r="R211" s="4"/>
      <c r="S211" s="50">
        <v>4</v>
      </c>
      <c r="T211" s="48">
        <v>38</v>
      </c>
      <c r="U211" s="4">
        <v>48</v>
      </c>
      <c r="V211" s="4">
        <f t="shared" si="6"/>
        <v>152</v>
      </c>
      <c r="W211" s="4">
        <f t="shared" si="7"/>
        <v>192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52">
        <v>0.625</v>
      </c>
      <c r="I212" s="56">
        <v>0.64583333333333337</v>
      </c>
      <c r="J212" s="4">
        <v>30</v>
      </c>
      <c r="K212" s="43"/>
      <c r="L212" s="52">
        <v>0.625</v>
      </c>
      <c r="M212" s="56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50">
        <v>1</v>
      </c>
      <c r="T212" s="48">
        <v>38</v>
      </c>
      <c r="U212" s="4">
        <v>48</v>
      </c>
      <c r="V212" s="4">
        <f t="shared" si="6"/>
        <v>38</v>
      </c>
      <c r="W212" s="4">
        <f t="shared" si="7"/>
        <v>48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52">
        <v>0.64583333333333337</v>
      </c>
      <c r="I213" s="56">
        <v>0.66666666666666674</v>
      </c>
      <c r="J213" s="4">
        <v>30</v>
      </c>
      <c r="K213" s="43"/>
      <c r="L213" s="52">
        <v>0.64583333333333337</v>
      </c>
      <c r="M213" s="56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50">
        <v>1</v>
      </c>
      <c r="T213" s="48">
        <v>38</v>
      </c>
      <c r="U213" s="4">
        <v>48</v>
      </c>
      <c r="V213" s="4">
        <f t="shared" si="6"/>
        <v>38</v>
      </c>
      <c r="W213" s="4">
        <f t="shared" si="7"/>
        <v>48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52">
        <v>0.39583333333333331</v>
      </c>
      <c r="I214" s="56">
        <v>0.41666666666666663</v>
      </c>
      <c r="J214" s="4">
        <v>30</v>
      </c>
      <c r="K214" s="43"/>
      <c r="L214" s="52">
        <v>0.39583333333333331</v>
      </c>
      <c r="M214" s="56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50">
        <v>1</v>
      </c>
      <c r="T214" s="48">
        <v>25</v>
      </c>
      <c r="U214" s="4">
        <v>48</v>
      </c>
      <c r="V214" s="4">
        <f t="shared" si="6"/>
        <v>25</v>
      </c>
      <c r="W214" s="4">
        <f t="shared" si="7"/>
        <v>48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52">
        <v>0.41666666666666669</v>
      </c>
      <c r="I215" s="43">
        <v>0.4375</v>
      </c>
      <c r="J215" s="4">
        <v>30</v>
      </c>
      <c r="K215" s="43"/>
      <c r="L215" s="52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53">
        <v>0.5</v>
      </c>
      <c r="T215" s="48">
        <v>30</v>
      </c>
      <c r="U215" s="4">
        <v>48</v>
      </c>
      <c r="V215" s="4">
        <f t="shared" si="6"/>
        <v>15</v>
      </c>
      <c r="W215" s="4">
        <f t="shared" si="7"/>
        <v>24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56">
        <v>0.54166666666666674</v>
      </c>
      <c r="J216" s="4">
        <v>90</v>
      </c>
      <c r="K216" s="43"/>
      <c r="L216" s="45">
        <v>0.47916666666666669</v>
      </c>
      <c r="M216" s="56">
        <v>0.54166666666666674</v>
      </c>
      <c r="N216" s="4">
        <v>90</v>
      </c>
      <c r="O216" s="6" t="s">
        <v>26</v>
      </c>
      <c r="P216" s="4" t="s">
        <v>192</v>
      </c>
      <c r="Q216" s="59" t="s">
        <v>809</v>
      </c>
      <c r="R216" s="4"/>
      <c r="S216" s="50">
        <v>3</v>
      </c>
      <c r="T216" s="48">
        <v>30</v>
      </c>
      <c r="U216" s="4">
        <v>48</v>
      </c>
      <c r="V216" s="4">
        <f t="shared" si="6"/>
        <v>90</v>
      </c>
      <c r="W216" s="4">
        <f t="shared" si="7"/>
        <v>144</v>
      </c>
      <c r="X216" s="4"/>
      <c r="Y216" s="4"/>
    </row>
  </sheetData>
  <autoFilter ref="A1:Y216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16"/>
  <sheetViews>
    <sheetView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52">
        <v>0.58333333333333337</v>
      </c>
      <c r="I2" s="56">
        <v>0.61458333333333337</v>
      </c>
      <c r="J2" s="4">
        <v>45</v>
      </c>
      <c r="K2" s="43"/>
      <c r="L2" s="52">
        <v>0.58333333333333337</v>
      </c>
      <c r="M2" s="56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50">
        <v>1</v>
      </c>
      <c r="T2" s="48">
        <v>30</v>
      </c>
      <c r="U2" s="4">
        <v>48</v>
      </c>
      <c r="V2" s="4">
        <f t="shared" ref="V2:V65" si="0">T2*S2</f>
        <v>30</v>
      </c>
      <c r="W2" s="4">
        <f t="shared" ref="W2:W65" si="1">U2*S2</f>
        <v>48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54">
        <v>0.5625</v>
      </c>
      <c r="I3" s="58">
        <v>0.57291666666666663</v>
      </c>
      <c r="J3" s="9">
        <v>15</v>
      </c>
      <c r="K3" s="44"/>
      <c r="L3" s="54">
        <v>0.5625</v>
      </c>
      <c r="M3" s="58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57">
        <v>1</v>
      </c>
      <c r="T3" s="49">
        <v>30</v>
      </c>
      <c r="U3" s="9">
        <v>48</v>
      </c>
      <c r="V3" s="4">
        <f t="shared" si="0"/>
        <v>30</v>
      </c>
      <c r="W3" s="4">
        <f t="shared" si="1"/>
        <v>48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52">
        <v>0.39583333333333331</v>
      </c>
      <c r="I4" s="56">
        <v>0.41666666666666663</v>
      </c>
      <c r="J4" s="4">
        <v>30</v>
      </c>
      <c r="K4" s="43"/>
      <c r="L4" s="52">
        <v>0.39583333333333331</v>
      </c>
      <c r="M4" s="56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50">
        <v>1</v>
      </c>
      <c r="T4" s="48">
        <v>30</v>
      </c>
      <c r="U4" s="4">
        <v>48</v>
      </c>
      <c r="V4" s="4">
        <f t="shared" si="0"/>
        <v>30</v>
      </c>
      <c r="W4" s="4">
        <f t="shared" si="1"/>
        <v>48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52">
        <v>0.5625</v>
      </c>
      <c r="I5" s="56">
        <v>0.72916666666666663</v>
      </c>
      <c r="J5" s="4">
        <v>240</v>
      </c>
      <c r="K5" s="43"/>
      <c r="L5" s="52">
        <v>0.5625</v>
      </c>
      <c r="M5" s="56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50">
        <v>4</v>
      </c>
      <c r="T5" s="48">
        <v>30</v>
      </c>
      <c r="U5" s="4">
        <v>48</v>
      </c>
      <c r="V5" s="4">
        <f t="shared" si="0"/>
        <v>120</v>
      </c>
      <c r="W5" s="4">
        <f t="shared" si="1"/>
        <v>192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52">
        <v>0.47916666666666669</v>
      </c>
      <c r="I6" s="43">
        <v>0.49305555555555558</v>
      </c>
      <c r="J6" s="4">
        <v>20</v>
      </c>
      <c r="K6" s="43"/>
      <c r="L6" s="43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53">
        <v>0.5</v>
      </c>
      <c r="T6" s="48">
        <v>30</v>
      </c>
      <c r="U6" s="4">
        <v>48</v>
      </c>
      <c r="V6" s="4">
        <f t="shared" si="0"/>
        <v>15</v>
      </c>
      <c r="W6" s="4">
        <f t="shared" si="1"/>
        <v>24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43">
        <v>0.51388888888888884</v>
      </c>
      <c r="J7" s="4">
        <v>20</v>
      </c>
      <c r="K7" s="43"/>
      <c r="L7" s="45">
        <v>0.5</v>
      </c>
      <c r="M7" s="43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53">
        <v>0.5</v>
      </c>
      <c r="T7" s="48">
        <v>30</v>
      </c>
      <c r="U7" s="4">
        <v>48</v>
      </c>
      <c r="V7" s="4">
        <f t="shared" si="0"/>
        <v>15</v>
      </c>
      <c r="W7" s="4">
        <f t="shared" si="1"/>
        <v>24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45">
        <v>0.45833333333333331</v>
      </c>
      <c r="I8" s="43">
        <v>0.47916666666666663</v>
      </c>
      <c r="J8" s="4">
        <v>30</v>
      </c>
      <c r="K8" s="43"/>
      <c r="L8" s="45">
        <v>0.45833333333333331</v>
      </c>
      <c r="M8" s="43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4"/>
      <c r="T8" s="48">
        <v>30</v>
      </c>
      <c r="U8" s="4">
        <v>48</v>
      </c>
      <c r="V8" s="4">
        <f t="shared" si="0"/>
        <v>0</v>
      </c>
      <c r="W8" s="4">
        <f t="shared" si="1"/>
        <v>0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45">
        <v>0.375</v>
      </c>
      <c r="I9" s="43">
        <v>0.41666666666666669</v>
      </c>
      <c r="J9" s="4">
        <v>60</v>
      </c>
      <c r="K9" s="43"/>
      <c r="L9" s="45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4"/>
      <c r="T9" s="48">
        <v>30</v>
      </c>
      <c r="U9" s="4">
        <v>48</v>
      </c>
      <c r="V9" s="4">
        <f t="shared" si="0"/>
        <v>0</v>
      </c>
      <c r="W9" s="4">
        <f t="shared" si="1"/>
        <v>0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43">
        <v>0.45833333333333337</v>
      </c>
      <c r="J10" s="4">
        <v>60</v>
      </c>
      <c r="K10" s="43"/>
      <c r="L10" s="43">
        <v>0.41666666666666669</v>
      </c>
      <c r="M10" s="43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4"/>
      <c r="T10" s="48">
        <v>30</v>
      </c>
      <c r="U10" s="4">
        <v>48</v>
      </c>
      <c r="V10" s="4">
        <f t="shared" si="0"/>
        <v>0</v>
      </c>
      <c r="W10" s="4">
        <f t="shared" si="1"/>
        <v>0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43">
        <v>0.53125</v>
      </c>
      <c r="I11" s="43">
        <v>0.58333333333333337</v>
      </c>
      <c r="J11" s="4">
        <v>75</v>
      </c>
      <c r="K11" s="43"/>
      <c r="L11" s="43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4"/>
      <c r="T11" s="48">
        <v>30</v>
      </c>
      <c r="U11" s="4">
        <v>48</v>
      </c>
      <c r="V11" s="4">
        <f t="shared" si="0"/>
        <v>0</v>
      </c>
      <c r="W11" s="4">
        <f t="shared" si="1"/>
        <v>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43">
        <v>0.625</v>
      </c>
      <c r="J12" s="4">
        <v>60</v>
      </c>
      <c r="K12" s="43"/>
      <c r="L12" s="43">
        <v>0.58333333333333337</v>
      </c>
      <c r="M12" s="43">
        <v>0.625</v>
      </c>
      <c r="N12" s="4">
        <v>60</v>
      </c>
      <c r="O12" s="4" t="s">
        <v>167</v>
      </c>
      <c r="P12" s="4"/>
      <c r="Q12" s="4"/>
      <c r="R12" s="4"/>
      <c r="S12" s="4"/>
      <c r="T12" s="48">
        <v>30</v>
      </c>
      <c r="U12" s="4">
        <v>48</v>
      </c>
      <c r="V12" s="4">
        <f t="shared" si="0"/>
        <v>0</v>
      </c>
      <c r="W12" s="4">
        <f t="shared" si="1"/>
        <v>0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45">
        <v>0.40277777777777773</v>
      </c>
      <c r="I13" s="43">
        <v>0.42361111111111105</v>
      </c>
      <c r="J13" s="4">
        <v>30</v>
      </c>
      <c r="K13" s="43"/>
      <c r="L13" s="45">
        <v>0.40277777777777773</v>
      </c>
      <c r="M13" s="43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4"/>
      <c r="T13" s="48">
        <v>30</v>
      </c>
      <c r="U13" s="4">
        <v>48</v>
      </c>
      <c r="V13" s="4">
        <f t="shared" si="0"/>
        <v>0</v>
      </c>
      <c r="W13" s="4">
        <f t="shared" si="1"/>
        <v>0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45">
        <v>0.6875</v>
      </c>
      <c r="I14" s="43">
        <v>0.70833333333333337</v>
      </c>
      <c r="J14" s="4">
        <v>30</v>
      </c>
      <c r="K14" s="43"/>
      <c r="L14" s="45">
        <v>0.6875</v>
      </c>
      <c r="M14" s="43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4"/>
      <c r="T14" s="48">
        <v>32</v>
      </c>
      <c r="U14" s="4">
        <v>48</v>
      </c>
      <c r="V14" s="4">
        <f t="shared" si="0"/>
        <v>0</v>
      </c>
      <c r="W14" s="4">
        <f t="shared" si="1"/>
        <v>0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45">
        <v>0.63541666666666663</v>
      </c>
      <c r="I15" s="43">
        <v>0.65625</v>
      </c>
      <c r="J15" s="4">
        <v>45</v>
      </c>
      <c r="K15" s="43"/>
      <c r="L15" s="45">
        <v>0.63541666666666663</v>
      </c>
      <c r="M15" s="43">
        <v>0.65625</v>
      </c>
      <c r="N15" s="4">
        <v>45</v>
      </c>
      <c r="O15" s="6" t="s">
        <v>695</v>
      </c>
      <c r="P15" s="4"/>
      <c r="Q15" s="4"/>
      <c r="R15" s="4"/>
      <c r="S15" s="4"/>
      <c r="T15" s="48">
        <v>32</v>
      </c>
      <c r="U15" s="4">
        <v>48</v>
      </c>
      <c r="V15" s="4">
        <f t="shared" si="0"/>
        <v>0</v>
      </c>
      <c r="W15" s="4">
        <f t="shared" si="1"/>
        <v>0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45">
        <v>0.33333333333333331</v>
      </c>
      <c r="I16" s="43">
        <v>0.35416666666666663</v>
      </c>
      <c r="J16" s="4">
        <v>30</v>
      </c>
      <c r="K16" s="43"/>
      <c r="L16" s="45">
        <v>0.33333333333333331</v>
      </c>
      <c r="M16" s="43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4"/>
      <c r="T16" s="48">
        <v>32</v>
      </c>
      <c r="U16" s="4">
        <v>48</v>
      </c>
      <c r="V16" s="4">
        <f t="shared" si="0"/>
        <v>0</v>
      </c>
      <c r="W16" s="4">
        <f t="shared" si="1"/>
        <v>0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45">
        <v>0.36458333333333331</v>
      </c>
      <c r="I17" s="43">
        <v>0.375</v>
      </c>
      <c r="J17" s="4">
        <v>15</v>
      </c>
      <c r="K17" s="43"/>
      <c r="L17" s="45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4"/>
      <c r="T17" s="48">
        <v>32</v>
      </c>
      <c r="U17" s="4">
        <v>48</v>
      </c>
      <c r="V17" s="4">
        <f t="shared" si="0"/>
        <v>0</v>
      </c>
      <c r="W17" s="4">
        <f t="shared" si="1"/>
        <v>0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4"/>
      <c r="T18" s="48">
        <v>32</v>
      </c>
      <c r="U18" s="4">
        <v>48</v>
      </c>
      <c r="V18" s="4">
        <f t="shared" si="0"/>
        <v>0</v>
      </c>
      <c r="W18" s="4">
        <f t="shared" si="1"/>
        <v>0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43">
        <v>0.4236111111111111</v>
      </c>
      <c r="J19" s="4">
        <v>40</v>
      </c>
      <c r="K19" s="43"/>
      <c r="L19" s="45">
        <v>0.39583333333333331</v>
      </c>
      <c r="M19" s="43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8">
        <v>32</v>
      </c>
      <c r="U19" s="4">
        <v>48</v>
      </c>
      <c r="V19" s="4">
        <f t="shared" si="0"/>
        <v>0</v>
      </c>
      <c r="W19" s="4">
        <f t="shared" si="1"/>
        <v>0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45">
        <v>0.5</v>
      </c>
      <c r="I20" s="43">
        <v>0.51041666666666663</v>
      </c>
      <c r="J20" s="4">
        <v>15</v>
      </c>
      <c r="K20" s="43"/>
      <c r="L20" s="45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4"/>
      <c r="T20" s="48">
        <v>32</v>
      </c>
      <c r="U20" s="4">
        <v>48</v>
      </c>
      <c r="V20" s="4">
        <f t="shared" si="0"/>
        <v>0</v>
      </c>
      <c r="W20" s="4">
        <f t="shared" si="1"/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4"/>
      <c r="T21" s="48">
        <v>32</v>
      </c>
      <c r="U21" s="4">
        <v>48</v>
      </c>
      <c r="V21" s="4">
        <f t="shared" si="0"/>
        <v>0</v>
      </c>
      <c r="W21" s="4">
        <f t="shared" si="1"/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43">
        <v>0.54861111111111116</v>
      </c>
      <c r="J22" s="4">
        <v>40</v>
      </c>
      <c r="K22" s="43"/>
      <c r="L22" s="43">
        <v>0.52777777777777779</v>
      </c>
      <c r="M22" s="43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4"/>
      <c r="T22" s="48">
        <v>32</v>
      </c>
      <c r="U22" s="4">
        <v>48</v>
      </c>
      <c r="V22" s="4">
        <f t="shared" si="0"/>
        <v>0</v>
      </c>
      <c r="W22" s="4">
        <f t="shared" si="1"/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43">
        <v>0.55208333333333337</v>
      </c>
      <c r="I23" s="43">
        <v>0.5625</v>
      </c>
      <c r="J23" s="4">
        <v>15</v>
      </c>
      <c r="K23" s="43"/>
      <c r="L23" s="43">
        <v>0.55208333333333337</v>
      </c>
      <c r="M23" s="43">
        <v>0.5625</v>
      </c>
      <c r="N23" s="4">
        <v>15</v>
      </c>
      <c r="O23" s="4" t="s">
        <v>107</v>
      </c>
      <c r="P23" s="4" t="s">
        <v>523</v>
      </c>
      <c r="Q23" s="4"/>
      <c r="R23" s="4"/>
      <c r="S23" s="4"/>
      <c r="T23" s="48">
        <v>32</v>
      </c>
      <c r="U23" s="4">
        <v>48</v>
      </c>
      <c r="V23" s="4">
        <f t="shared" si="0"/>
        <v>0</v>
      </c>
      <c r="W23" s="4">
        <f t="shared" si="1"/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45">
        <v>0.4375</v>
      </c>
      <c r="I24" s="43">
        <v>0.45833333333333331</v>
      </c>
      <c r="J24" s="4">
        <v>30</v>
      </c>
      <c r="K24" s="43"/>
      <c r="L24" s="45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4"/>
      <c r="T24" s="48">
        <v>32</v>
      </c>
      <c r="U24" s="4">
        <v>48</v>
      </c>
      <c r="V24" s="4">
        <f t="shared" si="0"/>
        <v>0</v>
      </c>
      <c r="W24" s="4">
        <f t="shared" si="1"/>
        <v>0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43">
        <v>0.5</v>
      </c>
      <c r="J25" s="4">
        <v>45</v>
      </c>
      <c r="K25" s="43"/>
      <c r="L25" s="43">
        <v>0.46875</v>
      </c>
      <c r="M25" s="43">
        <v>0.5</v>
      </c>
      <c r="N25" s="4">
        <v>45</v>
      </c>
      <c r="O25" s="4" t="s">
        <v>82</v>
      </c>
      <c r="P25" s="4" t="s">
        <v>83</v>
      </c>
      <c r="Q25" s="4"/>
      <c r="R25" s="4"/>
      <c r="S25" s="4"/>
      <c r="T25" s="48">
        <v>32</v>
      </c>
      <c r="U25" s="4">
        <v>48</v>
      </c>
      <c r="V25" s="4">
        <f t="shared" si="0"/>
        <v>0</v>
      </c>
      <c r="W25" s="4">
        <f t="shared" si="1"/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45">
        <v>0.54166666666666663</v>
      </c>
      <c r="I26" s="43">
        <v>0.57638888888888895</v>
      </c>
      <c r="J26" s="4">
        <v>50</v>
      </c>
      <c r="K26" s="43"/>
      <c r="L26" s="45">
        <v>0.54166666666666663</v>
      </c>
      <c r="M26" s="43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4"/>
      <c r="T26" s="48">
        <v>32</v>
      </c>
      <c r="U26" s="4">
        <v>48</v>
      </c>
      <c r="V26" s="4">
        <f t="shared" si="0"/>
        <v>0</v>
      </c>
      <c r="W26" s="4">
        <f t="shared" si="1"/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45">
        <v>0.39583333333333331</v>
      </c>
      <c r="I27" s="43">
        <v>0.41666666666666663</v>
      </c>
      <c r="J27" s="4">
        <v>30</v>
      </c>
      <c r="K27" s="43"/>
      <c r="L27" s="45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4"/>
      <c r="T27" s="48">
        <v>32</v>
      </c>
      <c r="U27" s="4">
        <v>48</v>
      </c>
      <c r="V27" s="4">
        <f t="shared" si="0"/>
        <v>0</v>
      </c>
      <c r="W27" s="4">
        <f t="shared" si="1"/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43">
        <v>0.45833333333333337</v>
      </c>
      <c r="J28" s="4">
        <v>60</v>
      </c>
      <c r="K28" s="43"/>
      <c r="L28" s="45">
        <v>0.41666666666666669</v>
      </c>
      <c r="M28" s="43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4"/>
      <c r="T28" s="48">
        <v>32</v>
      </c>
      <c r="U28" s="4">
        <v>48</v>
      </c>
      <c r="V28" s="4">
        <f t="shared" si="0"/>
        <v>0</v>
      </c>
      <c r="W28" s="4">
        <f t="shared" si="1"/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43">
        <v>0.47916666666666669</v>
      </c>
      <c r="I29" s="43">
        <v>0.5</v>
      </c>
      <c r="J29" s="4">
        <v>30</v>
      </c>
      <c r="K29" s="43"/>
      <c r="L29" s="43">
        <v>0.47916666666666669</v>
      </c>
      <c r="M29" s="43">
        <v>0.5</v>
      </c>
      <c r="N29" s="4">
        <v>30</v>
      </c>
      <c r="O29" s="4" t="s">
        <v>156</v>
      </c>
      <c r="P29" s="4" t="s">
        <v>269</v>
      </c>
      <c r="Q29" s="4"/>
      <c r="R29" s="4"/>
      <c r="S29" s="4"/>
      <c r="T29" s="48">
        <v>32</v>
      </c>
      <c r="U29" s="4">
        <v>48</v>
      </c>
      <c r="V29" s="4">
        <f t="shared" si="0"/>
        <v>0</v>
      </c>
      <c r="W29" s="4">
        <f t="shared" si="1"/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45">
        <v>0.60416666666666663</v>
      </c>
      <c r="I30" s="43">
        <v>0.625</v>
      </c>
      <c r="J30" s="4">
        <v>30</v>
      </c>
      <c r="K30" s="43"/>
      <c r="L30" s="45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8">
        <v>32</v>
      </c>
      <c r="U30" s="4">
        <v>48</v>
      </c>
      <c r="V30" s="4">
        <f t="shared" si="0"/>
        <v>0</v>
      </c>
      <c r="W30" s="4">
        <f t="shared" si="1"/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43">
        <v>0.70833333333333337</v>
      </c>
      <c r="J31" s="4">
        <v>90</v>
      </c>
      <c r="K31" s="43"/>
      <c r="L31" s="45">
        <v>0.64583333333333337</v>
      </c>
      <c r="M31" s="43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8">
        <v>32</v>
      </c>
      <c r="U31" s="4">
        <v>48</v>
      </c>
      <c r="V31" s="4">
        <f t="shared" si="0"/>
        <v>0</v>
      </c>
      <c r="W31" s="4">
        <f t="shared" si="1"/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45">
        <v>0.64583333333333337</v>
      </c>
      <c r="I32" s="43">
        <v>0.6875</v>
      </c>
      <c r="J32" s="4">
        <v>60</v>
      </c>
      <c r="K32" s="43"/>
      <c r="L32" s="45">
        <v>0.64583333333333337</v>
      </c>
      <c r="M32" s="43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8">
        <v>32</v>
      </c>
      <c r="U32" s="4">
        <v>48</v>
      </c>
      <c r="V32" s="4">
        <f t="shared" si="0"/>
        <v>0</v>
      </c>
      <c r="W32" s="4">
        <f t="shared" si="1"/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45">
        <v>0.375</v>
      </c>
      <c r="I33" s="43">
        <v>0.38541666666666669</v>
      </c>
      <c r="J33" s="4">
        <v>15</v>
      </c>
      <c r="K33" s="43"/>
      <c r="L33" s="45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8">
        <v>32</v>
      </c>
      <c r="U33" s="4">
        <v>48</v>
      </c>
      <c r="V33" s="4">
        <f t="shared" si="0"/>
        <v>0</v>
      </c>
      <c r="W33" s="4">
        <f t="shared" si="1"/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8">
        <v>32</v>
      </c>
      <c r="U34" s="4">
        <v>48</v>
      </c>
      <c r="V34" s="4">
        <f t="shared" si="0"/>
        <v>0</v>
      </c>
      <c r="W34" s="4">
        <f t="shared" si="1"/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43">
        <v>0.43750000000000006</v>
      </c>
      <c r="J35" s="4">
        <v>40</v>
      </c>
      <c r="K35" s="43"/>
      <c r="L35" s="45">
        <v>0.40972222222222227</v>
      </c>
      <c r="M35" s="43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8">
        <v>32</v>
      </c>
      <c r="U35" s="4">
        <v>48</v>
      </c>
      <c r="V35" s="4">
        <f t="shared" si="0"/>
        <v>0</v>
      </c>
      <c r="W35" s="4">
        <f t="shared" si="1"/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45">
        <v>0.64583333333333337</v>
      </c>
      <c r="I36" s="43">
        <v>0.66666666666666674</v>
      </c>
      <c r="J36" s="4">
        <v>30</v>
      </c>
      <c r="K36" s="43"/>
      <c r="L36" s="45">
        <v>0.64583333333333337</v>
      </c>
      <c r="M36" s="43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8">
        <v>32</v>
      </c>
      <c r="U36" s="4">
        <v>48</v>
      </c>
      <c r="V36" s="4">
        <f t="shared" si="0"/>
        <v>0</v>
      </c>
      <c r="W36" s="4">
        <f t="shared" si="1"/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45">
        <v>0.64236111111111105</v>
      </c>
      <c r="I37" s="43">
        <v>0.66666666666666663</v>
      </c>
      <c r="J37" s="4">
        <v>35</v>
      </c>
      <c r="K37" s="43"/>
      <c r="L37" s="45">
        <v>0.64236111111111105</v>
      </c>
      <c r="M37" s="43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4"/>
      <c r="T37" s="48">
        <v>32</v>
      </c>
      <c r="U37" s="4">
        <v>48</v>
      </c>
      <c r="V37" s="4">
        <f t="shared" si="0"/>
        <v>0</v>
      </c>
      <c r="W37" s="4">
        <f t="shared" si="1"/>
        <v>0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45">
        <v>0.66666666666666663</v>
      </c>
      <c r="I38" s="43">
        <v>0.6875</v>
      </c>
      <c r="J38" s="4">
        <v>30</v>
      </c>
      <c r="K38" s="43"/>
      <c r="L38" s="45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4"/>
      <c r="T38" s="48">
        <v>32</v>
      </c>
      <c r="U38" s="4">
        <v>48</v>
      </c>
      <c r="V38" s="4">
        <f t="shared" si="0"/>
        <v>0</v>
      </c>
      <c r="W38" s="4">
        <f t="shared" si="1"/>
        <v>0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43">
        <v>0.70833333333333337</v>
      </c>
      <c r="J39" s="4">
        <v>30</v>
      </c>
      <c r="K39" s="43"/>
      <c r="L39" s="45">
        <v>0.6875</v>
      </c>
      <c r="M39" s="43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4"/>
      <c r="T39" s="48">
        <v>32</v>
      </c>
      <c r="U39" s="4">
        <v>48</v>
      </c>
      <c r="V39" s="4">
        <f t="shared" si="0"/>
        <v>0</v>
      </c>
      <c r="W39" s="4">
        <f t="shared" si="1"/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45">
        <v>0.54166666666666663</v>
      </c>
      <c r="I40" s="43">
        <v>0.5625</v>
      </c>
      <c r="J40" s="4">
        <v>30</v>
      </c>
      <c r="K40" s="43"/>
      <c r="L40" s="45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4"/>
      <c r="T40" s="48">
        <v>32</v>
      </c>
      <c r="U40" s="4">
        <v>48</v>
      </c>
      <c r="V40" s="4">
        <f t="shared" si="0"/>
        <v>0</v>
      </c>
      <c r="W40" s="4">
        <f t="shared" si="1"/>
        <v>0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43">
        <v>0.60416666666666663</v>
      </c>
      <c r="J41" s="4">
        <v>15</v>
      </c>
      <c r="K41" s="43"/>
      <c r="L41" s="45">
        <v>0.59375</v>
      </c>
      <c r="M41" s="43">
        <v>0.60416666666666663</v>
      </c>
      <c r="N41" s="4">
        <v>15</v>
      </c>
      <c r="O41" s="6" t="s">
        <v>26</v>
      </c>
      <c r="P41" s="4" t="s">
        <v>372</v>
      </c>
      <c r="Q41" s="4"/>
      <c r="R41" s="4"/>
      <c r="S41" s="4"/>
      <c r="T41" s="48">
        <v>32</v>
      </c>
      <c r="U41" s="4">
        <v>48</v>
      </c>
      <c r="V41" s="4">
        <f t="shared" si="0"/>
        <v>0</v>
      </c>
      <c r="W41" s="4">
        <f t="shared" si="1"/>
        <v>0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43">
        <v>0.60416666666666663</v>
      </c>
      <c r="I42" s="43">
        <v>0.625</v>
      </c>
      <c r="J42" s="4">
        <v>30</v>
      </c>
      <c r="K42" s="43"/>
      <c r="L42" s="43">
        <v>0.60416666666666663</v>
      </c>
      <c r="M42" s="43">
        <v>0.625</v>
      </c>
      <c r="N42" s="4">
        <v>30</v>
      </c>
      <c r="O42" s="4" t="s">
        <v>291</v>
      </c>
      <c r="P42" s="4" t="s">
        <v>681</v>
      </c>
      <c r="Q42" s="4"/>
      <c r="R42" s="4"/>
      <c r="S42" s="4"/>
      <c r="T42" s="48">
        <v>32</v>
      </c>
      <c r="U42" s="4">
        <v>48</v>
      </c>
      <c r="V42" s="4">
        <f t="shared" si="0"/>
        <v>0</v>
      </c>
      <c r="W42" s="4">
        <f t="shared" si="1"/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43">
        <v>0.60069444444444442</v>
      </c>
      <c r="I43" s="43">
        <v>0.64236111111111105</v>
      </c>
      <c r="J43" s="4">
        <v>60</v>
      </c>
      <c r="K43" s="43"/>
      <c r="L43" s="43">
        <v>0.60069444444444442</v>
      </c>
      <c r="M43" s="43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8">
        <v>32</v>
      </c>
      <c r="U43" s="4">
        <v>48</v>
      </c>
      <c r="V43" s="4">
        <f t="shared" si="0"/>
        <v>0</v>
      </c>
      <c r="W43" s="4">
        <f t="shared" si="1"/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45">
        <v>0.64583333333333337</v>
      </c>
      <c r="I44" s="43">
        <v>0.6875</v>
      </c>
      <c r="J44" s="4">
        <v>60</v>
      </c>
      <c r="K44" s="43"/>
      <c r="L44" s="45">
        <v>0.64583333333333337</v>
      </c>
      <c r="M44" s="43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8">
        <v>32</v>
      </c>
      <c r="U44" s="4">
        <v>48</v>
      </c>
      <c r="V44" s="4">
        <f t="shared" si="0"/>
        <v>0</v>
      </c>
      <c r="W44" s="4">
        <f t="shared" si="1"/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45">
        <v>0.41666666666666669</v>
      </c>
      <c r="I45" s="43">
        <v>0.4375</v>
      </c>
      <c r="J45" s="4">
        <v>30</v>
      </c>
      <c r="K45" s="43"/>
      <c r="L45" s="45">
        <v>0.41666666666666669</v>
      </c>
      <c r="M45" s="43">
        <v>0.4375</v>
      </c>
      <c r="N45" s="4">
        <v>30</v>
      </c>
      <c r="O45" s="6" t="s">
        <v>146</v>
      </c>
      <c r="P45" s="4"/>
      <c r="Q45" s="4"/>
      <c r="R45" s="4"/>
      <c r="S45" s="4"/>
      <c r="T45" s="48">
        <v>27</v>
      </c>
      <c r="U45" s="4">
        <v>48</v>
      </c>
      <c r="V45" s="4">
        <f t="shared" si="0"/>
        <v>0</v>
      </c>
      <c r="W45" s="4">
        <f t="shared" si="1"/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43">
        <v>0.3125</v>
      </c>
      <c r="I46" s="43">
        <v>0.32291666666666669</v>
      </c>
      <c r="J46" s="4">
        <v>15</v>
      </c>
      <c r="K46" s="43"/>
      <c r="L46" s="43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8">
        <v>27</v>
      </c>
      <c r="U46" s="4">
        <v>48</v>
      </c>
      <c r="V46" s="4">
        <f t="shared" si="0"/>
        <v>0</v>
      </c>
      <c r="W46" s="4">
        <f t="shared" si="1"/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8">
        <v>27</v>
      </c>
      <c r="U47" s="4">
        <v>48</v>
      </c>
      <c r="V47" s="4">
        <f t="shared" si="0"/>
        <v>0</v>
      </c>
      <c r="W47" s="4">
        <f t="shared" si="1"/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43">
        <v>0.38541666666666669</v>
      </c>
      <c r="J48" s="4">
        <v>15</v>
      </c>
      <c r="K48" s="43"/>
      <c r="L48" s="43">
        <v>0.375</v>
      </c>
      <c r="M48" s="43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8">
        <v>27</v>
      </c>
      <c r="U48" s="4">
        <v>48</v>
      </c>
      <c r="V48" s="4">
        <f t="shared" si="0"/>
        <v>0</v>
      </c>
      <c r="W48" s="4">
        <f t="shared" si="1"/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45">
        <v>0.33333333333333331</v>
      </c>
      <c r="I49" s="43">
        <v>0.41666666666666663</v>
      </c>
      <c r="J49" s="4">
        <v>120</v>
      </c>
      <c r="K49" s="43"/>
      <c r="L49" s="45">
        <v>0.33333333333333331</v>
      </c>
      <c r="M49" s="43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8">
        <v>27</v>
      </c>
      <c r="U49" s="4">
        <v>48</v>
      </c>
      <c r="V49" s="4">
        <f t="shared" si="0"/>
        <v>0</v>
      </c>
      <c r="W49" s="4">
        <f t="shared" si="1"/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45">
        <v>0.48958333333333331</v>
      </c>
      <c r="I50" s="43">
        <v>0.57291666666666663</v>
      </c>
      <c r="J50" s="4">
        <v>120</v>
      </c>
      <c r="K50" s="43"/>
      <c r="L50" s="45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8">
        <v>30</v>
      </c>
      <c r="U50" s="4">
        <v>48</v>
      </c>
      <c r="V50" s="4">
        <f t="shared" si="0"/>
        <v>0</v>
      </c>
      <c r="W50" s="4">
        <f t="shared" si="1"/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43">
        <v>0.66666666666666663</v>
      </c>
      <c r="J51" s="4">
        <v>150</v>
      </c>
      <c r="K51" s="43"/>
      <c r="L51" s="45">
        <v>0.5625</v>
      </c>
      <c r="M51" s="43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8">
        <v>30</v>
      </c>
      <c r="U51" s="4">
        <v>48</v>
      </c>
      <c r="V51" s="4">
        <f t="shared" si="0"/>
        <v>0</v>
      </c>
      <c r="W51" s="4">
        <f t="shared" si="1"/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45">
        <v>0.58333333333333337</v>
      </c>
      <c r="I52" s="43">
        <v>0.60416666666666674</v>
      </c>
      <c r="J52" s="4">
        <v>30</v>
      </c>
      <c r="K52" s="43"/>
      <c r="L52" s="45">
        <v>0.58333333333333337</v>
      </c>
      <c r="M52" s="43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8">
        <v>30</v>
      </c>
      <c r="U52" s="4">
        <v>48</v>
      </c>
      <c r="V52" s="4">
        <f t="shared" si="0"/>
        <v>0</v>
      </c>
      <c r="W52" s="4">
        <f t="shared" si="1"/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45">
        <v>0.58333333333333337</v>
      </c>
      <c r="I53" s="43">
        <v>0.60416666666666663</v>
      </c>
      <c r="J53" s="4">
        <v>30</v>
      </c>
      <c r="K53" s="43"/>
      <c r="L53" s="45">
        <v>0.58333333333333337</v>
      </c>
      <c r="M53" s="43">
        <v>0.60416666666666663</v>
      </c>
      <c r="N53" s="4">
        <v>30</v>
      </c>
      <c r="O53" s="6" t="s">
        <v>378</v>
      </c>
      <c r="P53" s="4"/>
      <c r="Q53" s="4"/>
      <c r="R53" s="4"/>
      <c r="S53" s="4"/>
      <c r="T53" s="48">
        <v>30</v>
      </c>
      <c r="U53" s="4">
        <v>48</v>
      </c>
      <c r="V53" s="4">
        <f t="shared" si="0"/>
        <v>0</v>
      </c>
      <c r="W53" s="4">
        <f t="shared" si="1"/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45">
        <v>0.45833333333333331</v>
      </c>
      <c r="I54" s="43">
        <v>0.47916666666666663</v>
      </c>
      <c r="J54" s="4">
        <v>30</v>
      </c>
      <c r="K54" s="43"/>
      <c r="L54" s="45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4"/>
      <c r="T54" s="48">
        <v>30</v>
      </c>
      <c r="U54" s="4">
        <v>48</v>
      </c>
      <c r="V54" s="4">
        <f t="shared" si="0"/>
        <v>0</v>
      </c>
      <c r="W54" s="4">
        <f t="shared" si="1"/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43">
        <v>0.58333333333333337</v>
      </c>
      <c r="J55" s="4">
        <v>90</v>
      </c>
      <c r="K55" s="43"/>
      <c r="L55" s="45">
        <v>0.52083333333333337</v>
      </c>
      <c r="M55" s="43">
        <v>0.58333333333333337</v>
      </c>
      <c r="N55" s="4">
        <v>90</v>
      </c>
      <c r="O55" s="6" t="s">
        <v>26</v>
      </c>
      <c r="P55" s="4" t="s">
        <v>192</v>
      </c>
      <c r="Q55" s="4"/>
      <c r="R55" s="4"/>
      <c r="S55" s="4"/>
      <c r="T55" s="48">
        <v>30</v>
      </c>
      <c r="U55" s="4">
        <v>48</v>
      </c>
      <c r="V55" s="4">
        <f t="shared" si="0"/>
        <v>0</v>
      </c>
      <c r="W55" s="4">
        <f t="shared" si="1"/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45">
        <v>0.35416666666666669</v>
      </c>
      <c r="I56" s="43">
        <v>0.375</v>
      </c>
      <c r="J56" s="4">
        <v>30</v>
      </c>
      <c r="K56" s="43"/>
      <c r="L56" s="45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8">
        <v>30</v>
      </c>
      <c r="U56" s="4">
        <v>48</v>
      </c>
      <c r="V56" s="4">
        <f t="shared" si="0"/>
        <v>0</v>
      </c>
      <c r="W56" s="4">
        <f t="shared" si="1"/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43">
        <v>0.47916666666666669</v>
      </c>
      <c r="J57" s="4">
        <v>90</v>
      </c>
      <c r="K57" s="43"/>
      <c r="L57" s="45">
        <v>0.41666666666666669</v>
      </c>
      <c r="M57" s="43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8">
        <v>30</v>
      </c>
      <c r="U57" s="4">
        <v>48</v>
      </c>
      <c r="V57" s="4">
        <f t="shared" si="0"/>
        <v>0</v>
      </c>
      <c r="W57" s="4">
        <f t="shared" si="1"/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43">
        <v>0.35416666666666669</v>
      </c>
      <c r="I58" s="43">
        <v>0.45833333333333331</v>
      </c>
      <c r="J58" s="4">
        <v>150</v>
      </c>
      <c r="K58" s="43"/>
      <c r="L58" s="43">
        <v>0.35416666666666669</v>
      </c>
      <c r="M58" s="43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4"/>
      <c r="T58" s="48">
        <v>30</v>
      </c>
      <c r="U58" s="4">
        <v>48</v>
      </c>
      <c r="V58" s="4">
        <f t="shared" si="0"/>
        <v>0</v>
      </c>
      <c r="W58" s="4">
        <f t="shared" si="1"/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45">
        <v>0.63194444444444442</v>
      </c>
      <c r="I59" s="43">
        <v>0.73611111111111116</v>
      </c>
      <c r="J59" s="4">
        <v>150</v>
      </c>
      <c r="K59" s="43"/>
      <c r="L59" s="45">
        <v>0.63194444444444442</v>
      </c>
      <c r="M59" s="43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4"/>
      <c r="T59" s="48">
        <v>30</v>
      </c>
      <c r="U59" s="4">
        <v>48</v>
      </c>
      <c r="V59" s="4">
        <f t="shared" si="0"/>
        <v>0</v>
      </c>
      <c r="W59" s="4">
        <f t="shared" si="1"/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45">
        <v>0.32291666666666669</v>
      </c>
      <c r="I60" s="43">
        <v>0.375</v>
      </c>
      <c r="J60" s="4">
        <v>75</v>
      </c>
      <c r="K60" s="43"/>
      <c r="L60" s="45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8">
        <v>30</v>
      </c>
      <c r="U60" s="4">
        <v>48</v>
      </c>
      <c r="V60" s="4">
        <f t="shared" si="0"/>
        <v>0</v>
      </c>
      <c r="W60" s="4">
        <f t="shared" si="1"/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4"/>
      <c r="R61" s="4"/>
      <c r="S61" s="4"/>
      <c r="T61" s="48">
        <v>30</v>
      </c>
      <c r="U61" s="4">
        <v>48</v>
      </c>
      <c r="V61" s="4">
        <f t="shared" si="0"/>
        <v>0</v>
      </c>
      <c r="W61" s="4">
        <f t="shared" si="1"/>
        <v>0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4"/>
      <c r="T62" s="48">
        <v>30</v>
      </c>
      <c r="U62" s="4">
        <v>48</v>
      </c>
      <c r="V62" s="4">
        <f t="shared" si="0"/>
        <v>0</v>
      </c>
      <c r="W62" s="4">
        <f t="shared" si="1"/>
        <v>0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43">
        <v>0.47222222222222221</v>
      </c>
      <c r="J63" s="4">
        <v>20</v>
      </c>
      <c r="K63" s="43"/>
      <c r="L63" s="43">
        <v>0.45833333333333331</v>
      </c>
      <c r="M63" s="43">
        <v>0.47222222222222221</v>
      </c>
      <c r="N63" s="4">
        <v>20</v>
      </c>
      <c r="O63" s="4" t="s">
        <v>181</v>
      </c>
      <c r="P63" s="4" t="s">
        <v>239</v>
      </c>
      <c r="Q63" s="4"/>
      <c r="R63" s="4"/>
      <c r="S63" s="4"/>
      <c r="T63" s="48">
        <v>30</v>
      </c>
      <c r="U63" s="4">
        <v>48</v>
      </c>
      <c r="V63" s="4">
        <f t="shared" si="0"/>
        <v>0</v>
      </c>
      <c r="W63" s="4">
        <f t="shared" si="1"/>
        <v>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45">
        <v>0.45833333333333331</v>
      </c>
      <c r="I64" s="43">
        <v>0.54166666666666663</v>
      </c>
      <c r="J64" s="4">
        <v>120</v>
      </c>
      <c r="K64" s="43"/>
      <c r="L64" s="45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4"/>
      <c r="T64" s="48">
        <v>30</v>
      </c>
      <c r="U64" s="4">
        <v>48</v>
      </c>
      <c r="V64" s="4">
        <f t="shared" si="0"/>
        <v>0</v>
      </c>
      <c r="W64" s="4">
        <f t="shared" si="1"/>
        <v>0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43">
        <v>0.54166666666666663</v>
      </c>
      <c r="J65" s="4">
        <v>60</v>
      </c>
      <c r="K65" s="43"/>
      <c r="L65" s="43">
        <v>0.5</v>
      </c>
      <c r="M65" s="43">
        <v>0.54166666666666663</v>
      </c>
      <c r="N65" s="4">
        <v>60</v>
      </c>
      <c r="O65" s="4" t="s">
        <v>26</v>
      </c>
      <c r="P65" s="4" t="s">
        <v>596</v>
      </c>
      <c r="Q65" s="4"/>
      <c r="R65" s="4"/>
      <c r="S65" s="4"/>
      <c r="T65" s="48">
        <v>30</v>
      </c>
      <c r="U65" s="4">
        <v>48</v>
      </c>
      <c r="V65" s="4">
        <f t="shared" si="0"/>
        <v>0</v>
      </c>
      <c r="W65" s="4">
        <f t="shared" si="1"/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45">
        <v>0.52083333333333337</v>
      </c>
      <c r="I66" s="43">
        <v>0.59027777777777779</v>
      </c>
      <c r="J66" s="4">
        <v>100</v>
      </c>
      <c r="K66" s="43"/>
      <c r="L66" s="45">
        <v>0.52083333333333337</v>
      </c>
      <c r="M66" s="43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8">
        <v>40</v>
      </c>
      <c r="U66" s="4">
        <v>48</v>
      </c>
      <c r="V66" s="4">
        <f t="shared" ref="V66:V129" si="2">T66*S66</f>
        <v>0</v>
      </c>
      <c r="W66" s="4">
        <f t="shared" ref="W66:W129" si="3"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45">
        <v>0.4375</v>
      </c>
      <c r="I67" s="43">
        <v>0.46527777777777779</v>
      </c>
      <c r="J67" s="4">
        <v>40</v>
      </c>
      <c r="K67" s="43"/>
      <c r="L67" s="45">
        <v>0.4375</v>
      </c>
      <c r="M67" s="43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8">
        <v>40</v>
      </c>
      <c r="U67" s="4">
        <v>48</v>
      </c>
      <c r="V67" s="4">
        <f t="shared" si="2"/>
        <v>0</v>
      </c>
      <c r="W67" s="4">
        <f t="shared" si="3"/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45">
        <v>0.625</v>
      </c>
      <c r="I68" s="43">
        <v>0.64583333333333337</v>
      </c>
      <c r="J68" s="4">
        <v>30</v>
      </c>
      <c r="K68" s="43"/>
      <c r="L68" s="45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8">
        <v>40</v>
      </c>
      <c r="U68" s="4">
        <v>48</v>
      </c>
      <c r="V68" s="4">
        <f t="shared" si="2"/>
        <v>0</v>
      </c>
      <c r="W68" s="4">
        <f t="shared" si="3"/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43">
        <v>0.75</v>
      </c>
      <c r="J69" s="4">
        <v>90</v>
      </c>
      <c r="K69" s="43"/>
      <c r="L69" s="45">
        <v>0.6875</v>
      </c>
      <c r="M69" s="43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8">
        <v>40</v>
      </c>
      <c r="U69" s="4">
        <v>48</v>
      </c>
      <c r="V69" s="4">
        <f t="shared" si="2"/>
        <v>0</v>
      </c>
      <c r="W69" s="4">
        <f t="shared" si="3"/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45">
        <v>0.50694444444444442</v>
      </c>
      <c r="I70" s="43">
        <v>0.61111111111111105</v>
      </c>
      <c r="J70" s="4">
        <v>150</v>
      </c>
      <c r="K70" s="43"/>
      <c r="L70" s="45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8">
        <v>25</v>
      </c>
      <c r="U70" s="4">
        <v>48</v>
      </c>
      <c r="V70" s="4">
        <f t="shared" si="2"/>
        <v>0</v>
      </c>
      <c r="W70" s="4">
        <f t="shared" si="3"/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8">
        <v>25</v>
      </c>
      <c r="U71" s="4">
        <v>48</v>
      </c>
      <c r="V71" s="4">
        <f t="shared" si="2"/>
        <v>0</v>
      </c>
      <c r="W71" s="4">
        <f t="shared" si="3"/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43">
        <v>0.64583333333333337</v>
      </c>
      <c r="J72" s="4">
        <v>40</v>
      </c>
      <c r="K72" s="43"/>
      <c r="L72" s="45">
        <v>0.61805555555555558</v>
      </c>
      <c r="M72" s="43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8">
        <v>25</v>
      </c>
      <c r="U72" s="4">
        <v>48</v>
      </c>
      <c r="V72" s="4">
        <f t="shared" si="2"/>
        <v>0</v>
      </c>
      <c r="W72" s="4">
        <f t="shared" si="3"/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45">
        <v>0.41666666666666669</v>
      </c>
      <c r="I73" s="43">
        <v>0.45833333333333337</v>
      </c>
      <c r="J73" s="4">
        <v>60</v>
      </c>
      <c r="K73" s="43"/>
      <c r="L73" s="45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8">
        <v>25</v>
      </c>
      <c r="U73" s="4">
        <v>48</v>
      </c>
      <c r="V73" s="4">
        <f t="shared" si="2"/>
        <v>0</v>
      </c>
      <c r="W73" s="4">
        <f t="shared" si="3"/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43">
        <v>0.5</v>
      </c>
      <c r="J74" s="4">
        <v>60</v>
      </c>
      <c r="K74" s="43"/>
      <c r="L74" s="45">
        <v>0.45833333333333331</v>
      </c>
      <c r="M74" s="43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8">
        <v>25</v>
      </c>
      <c r="U74" s="4">
        <v>48</v>
      </c>
      <c r="V74" s="4">
        <f t="shared" si="2"/>
        <v>0</v>
      </c>
      <c r="W74" s="4">
        <f t="shared" si="3"/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43">
        <v>0.41666666666666669</v>
      </c>
      <c r="I75" s="43">
        <v>0.45833333333333331</v>
      </c>
      <c r="J75" s="4">
        <v>60</v>
      </c>
      <c r="K75" s="43"/>
      <c r="L75" s="43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8">
        <v>25</v>
      </c>
      <c r="U75" s="4">
        <v>48</v>
      </c>
      <c r="V75" s="4">
        <f t="shared" si="2"/>
        <v>0</v>
      </c>
      <c r="W75" s="4">
        <f t="shared" si="3"/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43">
        <v>0.47916666666666669</v>
      </c>
      <c r="J76" s="4">
        <v>30</v>
      </c>
      <c r="K76" s="43"/>
      <c r="L76" s="43">
        <v>0.45833333333333331</v>
      </c>
      <c r="M76" s="43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8">
        <v>25</v>
      </c>
      <c r="U76" s="4">
        <v>48</v>
      </c>
      <c r="V76" s="4">
        <f t="shared" si="2"/>
        <v>0</v>
      </c>
      <c r="W76" s="4">
        <f t="shared" si="3"/>
        <v>0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43">
        <v>0.5</v>
      </c>
      <c r="I77" s="43">
        <v>0.54166666666666663</v>
      </c>
      <c r="J77" s="4">
        <v>60</v>
      </c>
      <c r="K77" s="43"/>
      <c r="L77" s="43">
        <v>0.5</v>
      </c>
      <c r="M77" s="43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4"/>
      <c r="T77" s="48">
        <v>25</v>
      </c>
      <c r="U77" s="4">
        <v>48</v>
      </c>
      <c r="V77" s="4">
        <f t="shared" si="2"/>
        <v>0</v>
      </c>
      <c r="W77" s="4">
        <f t="shared" si="3"/>
        <v>0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45">
        <v>0.5625</v>
      </c>
      <c r="I78" s="43">
        <v>0.57291666666666663</v>
      </c>
      <c r="J78" s="4">
        <v>15</v>
      </c>
      <c r="K78" s="43"/>
      <c r="L78" s="45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4"/>
      <c r="T78" s="48">
        <v>25</v>
      </c>
      <c r="U78" s="4">
        <v>48</v>
      </c>
      <c r="V78" s="4">
        <f t="shared" si="2"/>
        <v>0</v>
      </c>
      <c r="W78" s="4">
        <f t="shared" si="3"/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4"/>
      <c r="T79" s="48">
        <v>25</v>
      </c>
      <c r="U79" s="4">
        <v>48</v>
      </c>
      <c r="V79" s="4">
        <f t="shared" si="2"/>
        <v>0</v>
      </c>
      <c r="W79" s="4">
        <f t="shared" si="3"/>
        <v>0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43">
        <v>0.625</v>
      </c>
      <c r="J80" s="4">
        <v>40</v>
      </c>
      <c r="K80" s="43"/>
      <c r="L80" s="43">
        <v>0.59722222222222221</v>
      </c>
      <c r="M80" s="43">
        <v>0.625</v>
      </c>
      <c r="N80" s="4">
        <v>40</v>
      </c>
      <c r="O80" s="6" t="s">
        <v>74</v>
      </c>
      <c r="P80" s="4" t="s">
        <v>91</v>
      </c>
      <c r="Q80" s="4"/>
      <c r="R80" s="4"/>
      <c r="S80" s="4"/>
      <c r="T80" s="48">
        <v>25</v>
      </c>
      <c r="U80" s="4">
        <v>48</v>
      </c>
      <c r="V80" s="4">
        <f t="shared" si="2"/>
        <v>0</v>
      </c>
      <c r="W80" s="4">
        <f t="shared" si="3"/>
        <v>0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45">
        <v>0.5625</v>
      </c>
      <c r="I81" s="43">
        <v>0.57291666666666663</v>
      </c>
      <c r="J81" s="4">
        <v>15</v>
      </c>
      <c r="K81" s="43"/>
      <c r="L81" s="45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8">
        <v>25</v>
      </c>
      <c r="U81" s="4">
        <v>48</v>
      </c>
      <c r="V81" s="4">
        <f t="shared" si="2"/>
        <v>0</v>
      </c>
      <c r="W81" s="4">
        <f t="shared" si="3"/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43">
        <v>0.625</v>
      </c>
      <c r="J82" s="4">
        <v>60</v>
      </c>
      <c r="K82" s="43"/>
      <c r="L82" s="45">
        <v>0.58333333333333337</v>
      </c>
      <c r="M82" s="43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8">
        <v>25</v>
      </c>
      <c r="U82" s="4">
        <v>48</v>
      </c>
      <c r="V82" s="4">
        <f t="shared" si="2"/>
        <v>0</v>
      </c>
      <c r="W82" s="4">
        <f t="shared" si="3"/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45">
        <v>0.5625</v>
      </c>
      <c r="I83" s="43">
        <v>0.58333333333333337</v>
      </c>
      <c r="J83" s="4">
        <v>30</v>
      </c>
      <c r="K83" s="43"/>
      <c r="L83" s="45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8">
        <v>25</v>
      </c>
      <c r="U83" s="4">
        <v>48</v>
      </c>
      <c r="V83" s="4">
        <f t="shared" si="2"/>
        <v>0</v>
      </c>
      <c r="W83" s="4">
        <f t="shared" si="3"/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43">
        <v>0.61458333333333337</v>
      </c>
      <c r="J84" s="4">
        <v>45</v>
      </c>
      <c r="K84" s="43"/>
      <c r="L84" s="45">
        <v>0.58333333333333337</v>
      </c>
      <c r="M84" s="43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8">
        <v>25</v>
      </c>
      <c r="U84" s="4">
        <v>48</v>
      </c>
      <c r="V84" s="4">
        <f t="shared" si="2"/>
        <v>0</v>
      </c>
      <c r="W84" s="4">
        <f t="shared" si="3"/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45">
        <v>0.52777777777777779</v>
      </c>
      <c r="I85" s="43">
        <v>0.63194444444444442</v>
      </c>
      <c r="J85" s="4">
        <v>150</v>
      </c>
      <c r="K85" s="43"/>
      <c r="L85" s="45">
        <v>0.52777777777777779</v>
      </c>
      <c r="M85" s="43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8">
        <v>25</v>
      </c>
      <c r="U85" s="4">
        <v>48</v>
      </c>
      <c r="V85" s="4">
        <f t="shared" si="2"/>
        <v>0</v>
      </c>
      <c r="W85" s="4">
        <f t="shared" si="3"/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43">
        <v>0.41666666666666669</v>
      </c>
      <c r="I86" s="43">
        <v>0.45833333333333337</v>
      </c>
      <c r="J86" s="4">
        <v>60</v>
      </c>
      <c r="K86" s="43"/>
      <c r="L86" s="43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4"/>
      <c r="T86" s="48">
        <v>28</v>
      </c>
      <c r="U86" s="4">
        <v>48</v>
      </c>
      <c r="V86" s="4">
        <f t="shared" si="2"/>
        <v>0</v>
      </c>
      <c r="W86" s="4">
        <f t="shared" si="3"/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4"/>
      <c r="T87" s="48">
        <v>28</v>
      </c>
      <c r="U87" s="4">
        <v>48</v>
      </c>
      <c r="V87" s="4">
        <f t="shared" si="2"/>
        <v>0</v>
      </c>
      <c r="W87" s="4">
        <f t="shared" si="3"/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4"/>
      <c r="R88" s="4"/>
      <c r="S88" s="4"/>
      <c r="T88" s="48">
        <v>28</v>
      </c>
      <c r="U88" s="4">
        <v>48</v>
      </c>
      <c r="V88" s="4">
        <f t="shared" si="2"/>
        <v>0</v>
      </c>
      <c r="W88" s="4">
        <f t="shared" si="3"/>
        <v>0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4"/>
      <c r="R89" s="4"/>
      <c r="S89" s="4"/>
      <c r="T89" s="48">
        <v>28</v>
      </c>
      <c r="U89" s="4">
        <v>48</v>
      </c>
      <c r="V89" s="4">
        <f t="shared" si="2"/>
        <v>0</v>
      </c>
      <c r="W89" s="4">
        <f t="shared" si="3"/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4"/>
      <c r="T90" s="48">
        <v>28</v>
      </c>
      <c r="U90" s="4">
        <v>48</v>
      </c>
      <c r="V90" s="4">
        <f t="shared" si="2"/>
        <v>0</v>
      </c>
      <c r="W90" s="4">
        <f t="shared" si="3"/>
        <v>0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4"/>
      <c r="T91" s="48">
        <v>28</v>
      </c>
      <c r="U91" s="4">
        <v>48</v>
      </c>
      <c r="V91" s="4">
        <f t="shared" si="2"/>
        <v>0</v>
      </c>
      <c r="W91" s="4">
        <f t="shared" si="3"/>
        <v>0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9"/>
      <c r="R92" s="9"/>
      <c r="S92" s="9"/>
      <c r="T92" s="49">
        <v>28</v>
      </c>
      <c r="U92" s="9">
        <v>48</v>
      </c>
      <c r="V92" s="4">
        <f t="shared" si="2"/>
        <v>0</v>
      </c>
      <c r="W92" s="4">
        <f t="shared" si="3"/>
        <v>0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46">
        <v>0.70833333333333337</v>
      </c>
      <c r="J93" s="9">
        <v>60</v>
      </c>
      <c r="K93" s="44"/>
      <c r="L93" s="46">
        <v>0.66666666666666663</v>
      </c>
      <c r="M93" s="4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9"/>
      <c r="T93" s="49">
        <v>28</v>
      </c>
      <c r="U93" s="9">
        <v>48</v>
      </c>
      <c r="V93" s="4">
        <f t="shared" si="2"/>
        <v>0</v>
      </c>
      <c r="W93" s="4">
        <f t="shared" si="3"/>
        <v>0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43">
        <v>0.36458333333333331</v>
      </c>
      <c r="I94" s="43">
        <v>0.375</v>
      </c>
      <c r="J94" s="4">
        <v>15</v>
      </c>
      <c r="K94" s="43"/>
      <c r="L94" s="43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4"/>
      <c r="T94" s="48">
        <v>28</v>
      </c>
      <c r="U94" s="4">
        <v>48</v>
      </c>
      <c r="V94" s="4">
        <f t="shared" si="2"/>
        <v>0</v>
      </c>
      <c r="W94" s="4">
        <f t="shared" si="3"/>
        <v>0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43">
        <v>0.41666666666666669</v>
      </c>
      <c r="J95" s="4">
        <v>60</v>
      </c>
      <c r="K95" s="43"/>
      <c r="L95" s="43">
        <v>0.375</v>
      </c>
      <c r="M95" s="43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4"/>
      <c r="T95" s="48">
        <v>28</v>
      </c>
      <c r="U95" s="4">
        <v>48</v>
      </c>
      <c r="V95" s="4">
        <f t="shared" si="2"/>
        <v>0</v>
      </c>
      <c r="W95" s="4">
        <f t="shared" si="3"/>
        <v>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45">
        <v>0.38541666666666669</v>
      </c>
      <c r="I96" s="43">
        <v>0.41666666666666669</v>
      </c>
      <c r="J96" s="4">
        <v>45</v>
      </c>
      <c r="K96" s="43"/>
      <c r="L96" s="45">
        <v>0.38541666666666669</v>
      </c>
      <c r="M96" s="43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4"/>
      <c r="T96" s="48">
        <v>28</v>
      </c>
      <c r="U96" s="4">
        <v>48</v>
      </c>
      <c r="V96" s="4">
        <f t="shared" si="2"/>
        <v>0</v>
      </c>
      <c r="W96" s="4">
        <f t="shared" si="3"/>
        <v>0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46">
        <v>0.48958333333333331</v>
      </c>
      <c r="I97" s="46">
        <v>0.52083333333333337</v>
      </c>
      <c r="J97" s="9">
        <v>45</v>
      </c>
      <c r="K97" s="44"/>
      <c r="L97" s="46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9"/>
      <c r="T97" s="49">
        <v>28</v>
      </c>
      <c r="U97" s="9">
        <v>48</v>
      </c>
      <c r="V97" s="4">
        <f t="shared" si="2"/>
        <v>0</v>
      </c>
      <c r="W97" s="4">
        <f t="shared" si="3"/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9"/>
      <c r="R98" s="9"/>
      <c r="S98" s="9"/>
      <c r="T98" s="49">
        <v>28</v>
      </c>
      <c r="U98" s="9">
        <v>48</v>
      </c>
      <c r="V98" s="4">
        <f t="shared" si="2"/>
        <v>0</v>
      </c>
      <c r="W98" s="4">
        <f t="shared" si="3"/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9"/>
      <c r="T99" s="49">
        <v>28</v>
      </c>
      <c r="U99" s="9">
        <v>48</v>
      </c>
      <c r="V99" s="4">
        <f t="shared" si="2"/>
        <v>0</v>
      </c>
      <c r="W99" s="4">
        <f t="shared" si="3"/>
        <v>0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4"/>
      <c r="T100" s="48">
        <v>28</v>
      </c>
      <c r="U100" s="4">
        <v>48</v>
      </c>
      <c r="V100" s="4">
        <f t="shared" si="2"/>
        <v>0</v>
      </c>
      <c r="W100" s="4">
        <f t="shared" si="3"/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43">
        <v>0.65625</v>
      </c>
      <c r="J101" s="4">
        <v>45</v>
      </c>
      <c r="K101" s="43"/>
      <c r="L101" s="43">
        <v>0.625</v>
      </c>
      <c r="M101" s="43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8">
        <v>28</v>
      </c>
      <c r="U101" s="4">
        <v>48</v>
      </c>
      <c r="V101" s="4">
        <f t="shared" si="2"/>
        <v>0</v>
      </c>
      <c r="W101" s="4">
        <f t="shared" si="3"/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43">
        <v>0.58680555555555558</v>
      </c>
      <c r="I102" s="43">
        <v>0.60763888888888884</v>
      </c>
      <c r="J102" s="4">
        <v>30</v>
      </c>
      <c r="K102" s="43"/>
      <c r="L102" s="43">
        <v>0.58680555555555558</v>
      </c>
      <c r="M102" s="43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4"/>
      <c r="T102" s="48">
        <v>28</v>
      </c>
      <c r="U102" s="4">
        <v>48</v>
      </c>
      <c r="V102" s="4">
        <f t="shared" si="2"/>
        <v>0</v>
      </c>
      <c r="W102" s="4">
        <f t="shared" si="3"/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43">
        <v>0.35416666666666669</v>
      </c>
      <c r="I103" s="43">
        <v>0.375</v>
      </c>
      <c r="J103" s="4">
        <v>30</v>
      </c>
      <c r="K103" s="43"/>
      <c r="L103" s="43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4"/>
      <c r="T103" s="48">
        <v>28</v>
      </c>
      <c r="U103" s="4">
        <v>48</v>
      </c>
      <c r="V103" s="4">
        <f t="shared" si="2"/>
        <v>0</v>
      </c>
      <c r="W103" s="4">
        <f t="shared" si="3"/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43">
        <v>0.39583333333333331</v>
      </c>
      <c r="J104" s="4">
        <v>15</v>
      </c>
      <c r="K104" s="43"/>
      <c r="L104" s="43">
        <v>0.38541666666666669</v>
      </c>
      <c r="M104" s="43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4"/>
      <c r="T104" s="48">
        <v>28</v>
      </c>
      <c r="U104" s="4">
        <v>48</v>
      </c>
      <c r="V104" s="4">
        <f t="shared" si="2"/>
        <v>0</v>
      </c>
      <c r="W104" s="4">
        <f t="shared" si="3"/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43">
        <v>0.54166666666666663</v>
      </c>
      <c r="I105" s="43">
        <v>0.58333333333333337</v>
      </c>
      <c r="J105" s="4">
        <v>60</v>
      </c>
      <c r="K105" s="43"/>
      <c r="L105" s="43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4"/>
      <c r="T105" s="48">
        <v>28</v>
      </c>
      <c r="U105" s="4">
        <v>48</v>
      </c>
      <c r="V105" s="4">
        <f t="shared" si="2"/>
        <v>0</v>
      </c>
      <c r="W105" s="4">
        <f t="shared" si="3"/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43">
        <v>0.59375</v>
      </c>
      <c r="J106" s="4">
        <v>15</v>
      </c>
      <c r="K106" s="43"/>
      <c r="L106" s="43">
        <v>0.58333333333333337</v>
      </c>
      <c r="M106" s="43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4"/>
      <c r="T106" s="48">
        <v>28</v>
      </c>
      <c r="U106" s="4">
        <v>48</v>
      </c>
      <c r="V106" s="4">
        <f t="shared" si="2"/>
        <v>0</v>
      </c>
      <c r="W106" s="4">
        <f t="shared" si="3"/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45">
        <v>0.66666666666666663</v>
      </c>
      <c r="I107" s="43">
        <v>0.71527777777777779</v>
      </c>
      <c r="J107" s="4">
        <v>70</v>
      </c>
      <c r="K107" s="43"/>
      <c r="L107" s="45">
        <v>0.66666666666666663</v>
      </c>
      <c r="M107" s="43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8">
        <v>30</v>
      </c>
      <c r="U107" s="4">
        <v>48</v>
      </c>
      <c r="V107" s="4">
        <f t="shared" si="2"/>
        <v>0</v>
      </c>
      <c r="W107" s="4">
        <f t="shared" si="3"/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43">
        <v>0.27083333333333331</v>
      </c>
      <c r="I108" s="43">
        <v>0.39583333333333331</v>
      </c>
      <c r="J108" s="4">
        <v>240</v>
      </c>
      <c r="K108" s="43"/>
      <c r="L108" s="43">
        <v>0.27083333333333331</v>
      </c>
      <c r="M108" s="43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8">
        <v>30</v>
      </c>
      <c r="U108" s="4">
        <v>48</v>
      </c>
      <c r="V108" s="4">
        <f t="shared" si="2"/>
        <v>0</v>
      </c>
      <c r="W108" s="4">
        <f t="shared" si="3"/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43">
        <v>0.52083333333333337</v>
      </c>
      <c r="I109" s="43">
        <v>0.54166666666666663</v>
      </c>
      <c r="J109" s="4">
        <v>30</v>
      </c>
      <c r="K109" s="43"/>
      <c r="L109" s="43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8">
        <v>30</v>
      </c>
      <c r="U109" s="4">
        <v>48</v>
      </c>
      <c r="V109" s="4">
        <f t="shared" si="2"/>
        <v>0</v>
      </c>
      <c r="W109" s="4">
        <f t="shared" si="3"/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8">
        <v>30</v>
      </c>
      <c r="U110" s="4">
        <v>48</v>
      </c>
      <c r="V110" s="4">
        <f t="shared" si="2"/>
        <v>0</v>
      </c>
      <c r="W110" s="4">
        <f t="shared" si="3"/>
        <v>0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4"/>
      <c r="R111" s="4"/>
      <c r="S111" s="4"/>
      <c r="T111" s="48">
        <v>30</v>
      </c>
      <c r="U111" s="4">
        <v>48</v>
      </c>
      <c r="V111" s="4">
        <f t="shared" si="2"/>
        <v>0</v>
      </c>
      <c r="W111" s="4">
        <f t="shared" si="3"/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43">
        <v>0.60416666666666674</v>
      </c>
      <c r="J112" s="4">
        <v>30</v>
      </c>
      <c r="K112" s="43"/>
      <c r="L112" s="43">
        <v>0.58333333333333337</v>
      </c>
      <c r="M112" s="43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4"/>
      <c r="T112" s="48">
        <v>30</v>
      </c>
      <c r="U112" s="4">
        <v>48</v>
      </c>
      <c r="V112" s="4">
        <f t="shared" si="2"/>
        <v>0</v>
      </c>
      <c r="W112" s="4">
        <f t="shared" si="3"/>
        <v>0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43">
        <v>0.625</v>
      </c>
      <c r="I113" s="43">
        <v>0.64583333333333337</v>
      </c>
      <c r="J113" s="4">
        <v>30</v>
      </c>
      <c r="K113" s="43"/>
      <c r="L113" s="43">
        <v>0.625</v>
      </c>
      <c r="M113" s="43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8">
        <v>30</v>
      </c>
      <c r="U113" s="4">
        <v>48</v>
      </c>
      <c r="V113" s="4">
        <f t="shared" si="2"/>
        <v>0</v>
      </c>
      <c r="W113" s="4">
        <f t="shared" si="3"/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45">
        <v>0.61111111111111105</v>
      </c>
      <c r="I114" s="43">
        <v>0.64583333333333326</v>
      </c>
      <c r="J114" s="4">
        <v>50</v>
      </c>
      <c r="K114" s="43"/>
      <c r="L114" s="45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8">
        <v>33</v>
      </c>
      <c r="U114" s="4">
        <v>48</v>
      </c>
      <c r="V114" s="4">
        <f t="shared" si="2"/>
        <v>0</v>
      </c>
      <c r="W114" s="4">
        <f t="shared" si="3"/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43">
        <v>0.6875</v>
      </c>
      <c r="J115" s="4">
        <v>60</v>
      </c>
      <c r="K115" s="43"/>
      <c r="L115" s="45">
        <v>0.64583333333333337</v>
      </c>
      <c r="M115" s="43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8">
        <v>33</v>
      </c>
      <c r="U115" s="4">
        <v>48</v>
      </c>
      <c r="V115" s="4">
        <f t="shared" si="2"/>
        <v>0</v>
      </c>
      <c r="W115" s="4">
        <f t="shared" si="3"/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43">
        <v>0.5625</v>
      </c>
      <c r="I116" s="43">
        <v>0.60416666666666663</v>
      </c>
      <c r="J116" s="4">
        <v>60</v>
      </c>
      <c r="K116" s="43"/>
      <c r="L116" s="43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4"/>
      <c r="T116" s="48">
        <v>33</v>
      </c>
      <c r="U116" s="4">
        <v>48</v>
      </c>
      <c r="V116" s="4">
        <f t="shared" si="2"/>
        <v>0</v>
      </c>
      <c r="W116" s="4">
        <f t="shared" si="3"/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43">
        <v>0.70833333333333326</v>
      </c>
      <c r="J117" s="4">
        <v>150</v>
      </c>
      <c r="K117" s="43"/>
      <c r="L117" s="43">
        <v>0.60416666666666663</v>
      </c>
      <c r="M117" s="43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4"/>
      <c r="T117" s="48">
        <v>33</v>
      </c>
      <c r="U117" s="4">
        <v>48</v>
      </c>
      <c r="V117" s="4">
        <f t="shared" si="2"/>
        <v>0</v>
      </c>
      <c r="W117" s="4">
        <f t="shared" si="3"/>
        <v>0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45">
        <v>0.41666666666666669</v>
      </c>
      <c r="I118" s="43">
        <v>0.44444444444444448</v>
      </c>
      <c r="J118" s="4">
        <v>40</v>
      </c>
      <c r="K118" s="43"/>
      <c r="L118" s="45">
        <v>0.41666666666666669</v>
      </c>
      <c r="M118" s="43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4"/>
      <c r="T118" s="48">
        <v>33</v>
      </c>
      <c r="U118" s="4">
        <v>48</v>
      </c>
      <c r="V118" s="4">
        <f t="shared" si="2"/>
        <v>0</v>
      </c>
      <c r="W118" s="4">
        <f t="shared" si="3"/>
        <v>0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45">
        <v>0.43055555555555558</v>
      </c>
      <c r="I119" s="43">
        <v>0.45833333333333337</v>
      </c>
      <c r="J119" s="4">
        <v>40</v>
      </c>
      <c r="K119" s="43"/>
      <c r="L119" s="45">
        <v>0.43055555555555558</v>
      </c>
      <c r="M119" s="43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8">
        <v>33</v>
      </c>
      <c r="U119" s="4">
        <v>48</v>
      </c>
      <c r="V119" s="4">
        <f t="shared" si="2"/>
        <v>0</v>
      </c>
      <c r="W119" s="4">
        <f t="shared" si="3"/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45">
        <v>0.66666666666666663</v>
      </c>
      <c r="I120" s="43">
        <v>0.6875</v>
      </c>
      <c r="J120" s="4">
        <v>30</v>
      </c>
      <c r="K120" s="43"/>
      <c r="L120" s="45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8">
        <v>32</v>
      </c>
      <c r="U120" s="4">
        <v>48</v>
      </c>
      <c r="V120" s="4">
        <f t="shared" si="2"/>
        <v>0</v>
      </c>
      <c r="W120" s="4">
        <f t="shared" si="3"/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43">
        <v>0.70833333333333337</v>
      </c>
      <c r="J121" s="4">
        <v>30</v>
      </c>
      <c r="K121" s="43"/>
      <c r="L121" s="45">
        <v>0.6875</v>
      </c>
      <c r="M121" s="43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8">
        <v>32</v>
      </c>
      <c r="U121" s="4">
        <v>48</v>
      </c>
      <c r="V121" s="4">
        <f t="shared" si="2"/>
        <v>0</v>
      </c>
      <c r="W121" s="4">
        <f t="shared" si="3"/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45">
        <v>0.61458333333333337</v>
      </c>
      <c r="I122" s="43">
        <v>0.65625</v>
      </c>
      <c r="J122" s="4">
        <v>60</v>
      </c>
      <c r="K122" s="43"/>
      <c r="L122" s="45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8">
        <v>40</v>
      </c>
      <c r="U122" s="4">
        <v>48</v>
      </c>
      <c r="V122" s="4">
        <f t="shared" si="2"/>
        <v>0</v>
      </c>
      <c r="W122" s="4">
        <f t="shared" si="3"/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43">
        <v>0.67708333333333337</v>
      </c>
      <c r="J123" s="4">
        <v>30</v>
      </c>
      <c r="K123" s="43"/>
      <c r="L123" s="45">
        <v>0.65625</v>
      </c>
      <c r="M123" s="43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8">
        <v>40</v>
      </c>
      <c r="U123" s="4">
        <v>48</v>
      </c>
      <c r="V123" s="4">
        <f t="shared" si="2"/>
        <v>0</v>
      </c>
      <c r="W123" s="4">
        <f t="shared" si="3"/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45">
        <v>0.41666666666666669</v>
      </c>
      <c r="I124" s="43">
        <v>0.47916666666666669</v>
      </c>
      <c r="J124" s="4">
        <v>90</v>
      </c>
      <c r="K124" s="43"/>
      <c r="L124" s="45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8">
        <v>37</v>
      </c>
      <c r="U124" s="4">
        <v>48</v>
      </c>
      <c r="V124" s="4">
        <f t="shared" si="2"/>
        <v>0</v>
      </c>
      <c r="W124" s="4">
        <f t="shared" si="3"/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8">
        <v>37</v>
      </c>
      <c r="U125" s="4">
        <v>48</v>
      </c>
      <c r="V125" s="4">
        <f t="shared" si="2"/>
        <v>0</v>
      </c>
      <c r="W125" s="4">
        <f t="shared" si="3"/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43">
        <v>0.5625</v>
      </c>
      <c r="J126" s="4">
        <v>15</v>
      </c>
      <c r="K126" s="43"/>
      <c r="L126" s="45">
        <v>0.55208333333333337</v>
      </c>
      <c r="M126" s="43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8">
        <v>37</v>
      </c>
      <c r="U126" s="4">
        <v>48</v>
      </c>
      <c r="V126" s="4">
        <f t="shared" si="2"/>
        <v>0</v>
      </c>
      <c r="W126" s="4">
        <f t="shared" si="3"/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45">
        <v>0.58333333333333337</v>
      </c>
      <c r="I127" s="43">
        <v>0.625</v>
      </c>
      <c r="J127" s="4">
        <v>60</v>
      </c>
      <c r="K127" s="43"/>
      <c r="L127" s="45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8">
        <v>37</v>
      </c>
      <c r="U127" s="4">
        <v>48</v>
      </c>
      <c r="V127" s="4">
        <f t="shared" si="2"/>
        <v>0</v>
      </c>
      <c r="W127" s="4">
        <f t="shared" si="3"/>
        <v>0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43">
        <v>0.65625</v>
      </c>
      <c r="J128" s="4">
        <v>45</v>
      </c>
      <c r="K128" s="43"/>
      <c r="L128" s="45">
        <v>0.625</v>
      </c>
      <c r="M128" s="43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4"/>
      <c r="T128" s="48">
        <v>37</v>
      </c>
      <c r="U128" s="4">
        <v>48</v>
      </c>
      <c r="V128" s="4">
        <f t="shared" si="2"/>
        <v>0</v>
      </c>
      <c r="W128" s="4">
        <f t="shared" si="3"/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45">
        <v>0.625</v>
      </c>
      <c r="I129" s="43">
        <v>0.64583333333333337</v>
      </c>
      <c r="J129" s="4">
        <v>30</v>
      </c>
      <c r="K129" s="43"/>
      <c r="L129" s="45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4"/>
      <c r="T129" s="48">
        <v>37</v>
      </c>
      <c r="U129" s="4">
        <v>48</v>
      </c>
      <c r="V129" s="4">
        <f t="shared" si="2"/>
        <v>0</v>
      </c>
      <c r="W129" s="4">
        <f t="shared" si="3"/>
        <v>0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43">
        <v>0.66666666666666663</v>
      </c>
      <c r="J130" s="4">
        <v>30</v>
      </c>
      <c r="K130" s="43"/>
      <c r="L130" s="43">
        <v>0.64583333333333337</v>
      </c>
      <c r="M130" s="43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4"/>
      <c r="T130" s="48">
        <v>37</v>
      </c>
      <c r="U130" s="4">
        <v>48</v>
      </c>
      <c r="V130" s="4">
        <f t="shared" ref="V130:V193" si="4">T130*S130</f>
        <v>0</v>
      </c>
      <c r="W130" s="4">
        <f t="shared" ref="W130:W193" si="5">U130*S130</f>
        <v>0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45">
        <v>0.54166666666666663</v>
      </c>
      <c r="I131" s="43">
        <v>0.5625</v>
      </c>
      <c r="J131" s="4">
        <v>30</v>
      </c>
      <c r="K131" s="43"/>
      <c r="L131" s="45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4"/>
      <c r="T131" s="48">
        <v>35</v>
      </c>
      <c r="U131" s="4">
        <v>48</v>
      </c>
      <c r="V131" s="4">
        <f t="shared" si="4"/>
        <v>0</v>
      </c>
      <c r="W131" s="4">
        <f t="shared" si="5"/>
        <v>0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8">
        <v>35</v>
      </c>
      <c r="U132" s="4">
        <v>48</v>
      </c>
      <c r="V132" s="4">
        <f t="shared" si="4"/>
        <v>0</v>
      </c>
      <c r="W132" s="4">
        <f t="shared" si="5"/>
        <v>0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4"/>
      <c r="R133" s="4"/>
      <c r="S133" s="4"/>
      <c r="T133" s="48">
        <v>35</v>
      </c>
      <c r="U133" s="4">
        <v>48</v>
      </c>
      <c r="V133" s="4">
        <f t="shared" si="4"/>
        <v>0</v>
      </c>
      <c r="W133" s="4">
        <f t="shared" si="5"/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4"/>
      <c r="T134" s="48">
        <v>35</v>
      </c>
      <c r="U134" s="4">
        <v>48</v>
      </c>
      <c r="V134" s="4">
        <f t="shared" si="4"/>
        <v>0</v>
      </c>
      <c r="W134" s="4">
        <f t="shared" si="5"/>
        <v>0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4"/>
      <c r="R135" s="4"/>
      <c r="S135" s="4"/>
      <c r="T135" s="48">
        <v>35</v>
      </c>
      <c r="U135" s="4">
        <v>48</v>
      </c>
      <c r="V135" s="4">
        <f t="shared" si="4"/>
        <v>0</v>
      </c>
      <c r="W135" s="4">
        <f t="shared" si="5"/>
        <v>0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4"/>
      <c r="R136" s="4"/>
      <c r="S136" s="4"/>
      <c r="T136" s="48">
        <v>35</v>
      </c>
      <c r="U136" s="4">
        <v>48</v>
      </c>
      <c r="V136" s="4">
        <f t="shared" si="4"/>
        <v>0</v>
      </c>
      <c r="W136" s="4">
        <f t="shared" si="5"/>
        <v>0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43">
        <v>0.83333333333333337</v>
      </c>
      <c r="J137" s="4">
        <v>120</v>
      </c>
      <c r="K137" s="43"/>
      <c r="L137" s="45">
        <v>0.75</v>
      </c>
      <c r="M137" s="43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8">
        <v>35</v>
      </c>
      <c r="U137" s="4">
        <v>48</v>
      </c>
      <c r="V137" s="4">
        <f t="shared" si="4"/>
        <v>0</v>
      </c>
      <c r="W137" s="4">
        <f t="shared" si="5"/>
        <v>0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45">
        <v>0.4236111111111111</v>
      </c>
      <c r="I138" s="43">
        <v>0.46527777777777779</v>
      </c>
      <c r="J138" s="4">
        <v>60</v>
      </c>
      <c r="K138" s="43"/>
      <c r="L138" s="45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8">
        <v>27</v>
      </c>
      <c r="U138" s="4">
        <v>48</v>
      </c>
      <c r="V138" s="4">
        <f t="shared" si="4"/>
        <v>0</v>
      </c>
      <c r="W138" s="4">
        <f t="shared" si="5"/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43">
        <v>0.54166666666666663</v>
      </c>
      <c r="J139" s="4">
        <v>60</v>
      </c>
      <c r="K139" s="43"/>
      <c r="L139" s="45">
        <v>0.5</v>
      </c>
      <c r="M139" s="43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8">
        <v>27</v>
      </c>
      <c r="U139" s="4">
        <v>48</v>
      </c>
      <c r="V139" s="4">
        <f t="shared" si="4"/>
        <v>0</v>
      </c>
      <c r="W139" s="4">
        <f t="shared" si="5"/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43">
        <v>0.42708333333333331</v>
      </c>
      <c r="I140" s="43">
        <v>0.4375</v>
      </c>
      <c r="J140" s="4">
        <v>15</v>
      </c>
      <c r="K140" s="43"/>
      <c r="L140" s="43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8">
        <v>27</v>
      </c>
      <c r="U140" s="4">
        <v>48</v>
      </c>
      <c r="V140" s="4">
        <f t="shared" si="4"/>
        <v>0</v>
      </c>
      <c r="W140" s="4">
        <f t="shared" si="5"/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8">
        <v>27</v>
      </c>
      <c r="U141" s="4">
        <v>48</v>
      </c>
      <c r="V141" s="4">
        <f t="shared" si="4"/>
        <v>0</v>
      </c>
      <c r="W141" s="4">
        <f t="shared" si="5"/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43">
        <v>0.5</v>
      </c>
      <c r="J142" s="4">
        <v>60</v>
      </c>
      <c r="K142" s="43"/>
      <c r="L142" s="43">
        <v>0.45833333333333331</v>
      </c>
      <c r="M142" s="43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8">
        <v>27</v>
      </c>
      <c r="U142" s="4">
        <v>48</v>
      </c>
      <c r="V142" s="4">
        <f t="shared" si="4"/>
        <v>0</v>
      </c>
      <c r="W142" s="4">
        <f t="shared" si="5"/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45">
        <v>0.47916666666666669</v>
      </c>
      <c r="I143" s="43">
        <v>0.5</v>
      </c>
      <c r="J143" s="4">
        <v>30</v>
      </c>
      <c r="K143" s="43"/>
      <c r="L143" s="45">
        <v>0.47916666666666669</v>
      </c>
      <c r="M143" s="43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8">
        <v>25</v>
      </c>
      <c r="U143" s="4">
        <v>48</v>
      </c>
      <c r="V143" s="4">
        <f t="shared" si="4"/>
        <v>0</v>
      </c>
      <c r="W143" s="4">
        <f t="shared" si="5"/>
        <v>0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45">
        <v>0.4201388888888889</v>
      </c>
      <c r="I144" s="43">
        <v>0.4375</v>
      </c>
      <c r="J144" s="4">
        <v>25</v>
      </c>
      <c r="K144" s="43"/>
      <c r="L144" s="45">
        <v>0.4201388888888889</v>
      </c>
      <c r="M144" s="43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"/>
      <c r="U144" s="4">
        <v>48</v>
      </c>
      <c r="V144" s="4">
        <f t="shared" si="4"/>
        <v>0</v>
      </c>
      <c r="W144" s="4">
        <f t="shared" si="5"/>
        <v>0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45">
        <v>0.39583333333333331</v>
      </c>
      <c r="I145" s="43">
        <v>0.41666666666666663</v>
      </c>
      <c r="J145" s="4">
        <v>30</v>
      </c>
      <c r="K145" s="43"/>
      <c r="L145" s="45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4"/>
      <c r="T145" s="48">
        <v>25</v>
      </c>
      <c r="U145" s="4">
        <v>48</v>
      </c>
      <c r="V145" s="4">
        <f t="shared" si="4"/>
        <v>0</v>
      </c>
      <c r="W145" s="4">
        <f t="shared" si="5"/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4"/>
      <c r="T146" s="48">
        <v>25</v>
      </c>
      <c r="U146" s="4">
        <v>48</v>
      </c>
      <c r="V146" s="4">
        <f t="shared" si="4"/>
        <v>0</v>
      </c>
      <c r="W146" s="4">
        <f t="shared" si="5"/>
        <v>0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43">
        <v>0.58333333333333337</v>
      </c>
      <c r="J147" s="4">
        <v>120</v>
      </c>
      <c r="K147" s="43"/>
      <c r="L147" s="45">
        <v>0.5</v>
      </c>
      <c r="M147" s="43">
        <v>0.58333333333333337</v>
      </c>
      <c r="N147" s="4">
        <v>120</v>
      </c>
      <c r="O147" s="6" t="s">
        <v>26</v>
      </c>
      <c r="P147" s="4" t="s">
        <v>175</v>
      </c>
      <c r="Q147" s="4"/>
      <c r="R147" s="4"/>
      <c r="S147" s="4"/>
      <c r="T147" s="48">
        <v>25</v>
      </c>
      <c r="U147" s="4">
        <v>48</v>
      </c>
      <c r="V147" s="4">
        <f t="shared" si="4"/>
        <v>0</v>
      </c>
      <c r="W147" s="4">
        <f t="shared" si="5"/>
        <v>0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45">
        <v>0.54166666666666663</v>
      </c>
      <c r="I148" s="44">
        <v>0.55208333333333337</v>
      </c>
      <c r="J148" s="9">
        <v>15</v>
      </c>
      <c r="K148" s="44"/>
      <c r="L148" s="45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9"/>
      <c r="T148" s="49">
        <v>27</v>
      </c>
      <c r="U148" s="9">
        <v>48</v>
      </c>
      <c r="V148" s="4">
        <f t="shared" si="4"/>
        <v>0</v>
      </c>
      <c r="W148" s="4">
        <f t="shared" si="5"/>
        <v>0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44">
        <v>0.60416666666666663</v>
      </c>
      <c r="J149" s="9">
        <v>60</v>
      </c>
      <c r="K149" s="44"/>
      <c r="L149" s="45">
        <v>0.5625</v>
      </c>
      <c r="M149" s="44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9"/>
      <c r="T149" s="49">
        <v>27</v>
      </c>
      <c r="U149" s="9">
        <v>48</v>
      </c>
      <c r="V149" s="4">
        <f t="shared" si="4"/>
        <v>0</v>
      </c>
      <c r="W149" s="4">
        <f t="shared" si="5"/>
        <v>0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45">
        <v>0.625</v>
      </c>
      <c r="I150" s="43">
        <v>0.66666666666666663</v>
      </c>
      <c r="J150" s="4">
        <v>60</v>
      </c>
      <c r="K150" s="43"/>
      <c r="L150" s="45">
        <v>0.625</v>
      </c>
      <c r="M150" s="43">
        <v>0.66666666666666663</v>
      </c>
      <c r="N150" s="4">
        <v>60</v>
      </c>
      <c r="O150" s="6" t="s">
        <v>693</v>
      </c>
      <c r="P150" s="4"/>
      <c r="Q150" s="4"/>
      <c r="R150" s="4"/>
      <c r="S150" s="4"/>
      <c r="T150" s="48">
        <v>27</v>
      </c>
      <c r="U150" s="4">
        <v>48</v>
      </c>
      <c r="V150" s="4">
        <f t="shared" si="4"/>
        <v>0</v>
      </c>
      <c r="W150" s="4">
        <f t="shared" si="5"/>
        <v>0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43">
        <v>0.58333333333333337</v>
      </c>
      <c r="I151" s="43">
        <v>0.60416666666666674</v>
      </c>
      <c r="J151" s="4">
        <v>30</v>
      </c>
      <c r="K151" s="43"/>
      <c r="L151" s="43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8">
        <v>35</v>
      </c>
      <c r="U151" s="4">
        <v>48</v>
      </c>
      <c r="V151" s="4">
        <f t="shared" si="4"/>
        <v>0</v>
      </c>
      <c r="W151" s="4">
        <f t="shared" si="5"/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8">
        <v>35</v>
      </c>
      <c r="U152" s="4">
        <v>48</v>
      </c>
      <c r="V152" s="4">
        <f t="shared" si="4"/>
        <v>0</v>
      </c>
      <c r="W152" s="4">
        <f t="shared" si="5"/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43">
        <v>0.64583333333333337</v>
      </c>
      <c r="J153" s="4">
        <v>30</v>
      </c>
      <c r="K153" s="43"/>
      <c r="L153" s="43">
        <v>0.625</v>
      </c>
      <c r="M153" s="43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8">
        <v>35</v>
      </c>
      <c r="U153" s="4">
        <v>48</v>
      </c>
      <c r="V153" s="4">
        <f t="shared" si="4"/>
        <v>0</v>
      </c>
      <c r="W153" s="4">
        <f t="shared" si="5"/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45">
        <v>0.45833333333333331</v>
      </c>
      <c r="I154" s="43">
        <v>0.47916666666666663</v>
      </c>
      <c r="J154" s="4">
        <v>30</v>
      </c>
      <c r="K154" s="43"/>
      <c r="L154" s="45">
        <v>0.45833333333333331</v>
      </c>
      <c r="M154" s="43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4"/>
      <c r="T154" s="4"/>
      <c r="U154" s="4">
        <v>48</v>
      </c>
      <c r="V154" s="4">
        <f t="shared" si="4"/>
        <v>0</v>
      </c>
      <c r="W154" s="4">
        <f t="shared" si="5"/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45">
        <v>0.375</v>
      </c>
      <c r="I155" s="43">
        <v>0.38541666666666669</v>
      </c>
      <c r="J155" s="4">
        <v>15</v>
      </c>
      <c r="K155" s="43"/>
      <c r="L155" s="45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4"/>
      <c r="T155" s="4"/>
      <c r="U155" s="4">
        <v>48</v>
      </c>
      <c r="V155" s="4">
        <f t="shared" si="4"/>
        <v>0</v>
      </c>
      <c r="W155" s="4">
        <f t="shared" si="5"/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4"/>
      <c r="T156" s="4"/>
      <c r="U156" s="4">
        <v>48</v>
      </c>
      <c r="V156" s="4">
        <f t="shared" si="4"/>
        <v>0</v>
      </c>
      <c r="W156" s="4">
        <f t="shared" si="5"/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43">
        <v>0.45833333333333331</v>
      </c>
      <c r="J157" s="4">
        <v>90</v>
      </c>
      <c r="K157" s="43"/>
      <c r="L157" s="45">
        <v>0.39583333333333331</v>
      </c>
      <c r="M157" s="43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4"/>
      <c r="T157" s="4"/>
      <c r="U157" s="4">
        <v>48</v>
      </c>
      <c r="V157" s="4">
        <f t="shared" si="4"/>
        <v>0</v>
      </c>
      <c r="W157" s="4">
        <f t="shared" si="5"/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46">
        <v>0.45833333333333331</v>
      </c>
      <c r="I158" s="46">
        <v>0.6875</v>
      </c>
      <c r="J158" s="21">
        <v>330</v>
      </c>
      <c r="K158" s="46"/>
      <c r="L158" s="46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51">
        <v>30</v>
      </c>
      <c r="U158" s="21">
        <v>48</v>
      </c>
      <c r="V158" s="4">
        <f t="shared" si="4"/>
        <v>0</v>
      </c>
      <c r="W158" s="4">
        <f t="shared" si="5"/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43">
        <v>0.69791666666666663</v>
      </c>
      <c r="J159" s="4">
        <v>15</v>
      </c>
      <c r="K159" s="43"/>
      <c r="L159" s="45">
        <v>0.6875</v>
      </c>
      <c r="M159" s="43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8">
        <v>30</v>
      </c>
      <c r="U159" s="4">
        <v>48</v>
      </c>
      <c r="V159" s="4">
        <f t="shared" si="4"/>
        <v>0</v>
      </c>
      <c r="W159" s="4">
        <f t="shared" si="5"/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43">
        <v>0.39583333333333331</v>
      </c>
      <c r="I160" s="43">
        <v>0.40625</v>
      </c>
      <c r="J160" s="4">
        <v>15</v>
      </c>
      <c r="K160" s="43"/>
      <c r="L160" s="43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4"/>
      <c r="T160" s="48">
        <v>25</v>
      </c>
      <c r="U160" s="4">
        <v>48</v>
      </c>
      <c r="V160" s="4">
        <f t="shared" si="4"/>
        <v>0</v>
      </c>
      <c r="W160" s="4">
        <f t="shared" si="5"/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4"/>
      <c r="R161" s="4"/>
      <c r="S161" s="4"/>
      <c r="T161" s="48">
        <v>25</v>
      </c>
      <c r="U161" s="4">
        <v>48</v>
      </c>
      <c r="V161" s="4">
        <f t="shared" si="4"/>
        <v>0</v>
      </c>
      <c r="W161" s="4">
        <f t="shared" si="5"/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4"/>
      <c r="R162" s="4"/>
      <c r="S162" s="4"/>
      <c r="T162" s="48">
        <v>25</v>
      </c>
      <c r="U162" s="4">
        <v>48</v>
      </c>
      <c r="V162" s="4">
        <f t="shared" si="4"/>
        <v>0</v>
      </c>
      <c r="W162" s="4">
        <f t="shared" si="5"/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8">
        <v>25</v>
      </c>
      <c r="U163" s="4">
        <v>48</v>
      </c>
      <c r="V163" s="4">
        <f t="shared" si="4"/>
        <v>0</v>
      </c>
      <c r="W163" s="4">
        <f t="shared" si="5"/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43">
        <v>0.60416666666666674</v>
      </c>
      <c r="J164" s="4">
        <v>30</v>
      </c>
      <c r="K164" s="43"/>
      <c r="L164" s="43">
        <v>0.58333333333333337</v>
      </c>
      <c r="M164" s="43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8">
        <v>25</v>
      </c>
      <c r="U164" s="4">
        <v>48</v>
      </c>
      <c r="V164" s="4">
        <f t="shared" si="4"/>
        <v>0</v>
      </c>
      <c r="W164" s="4">
        <f t="shared" si="5"/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43">
        <v>0.35416666666666669</v>
      </c>
      <c r="I165" s="43">
        <v>0.45833333333333331</v>
      </c>
      <c r="J165" s="4">
        <v>150</v>
      </c>
      <c r="K165" s="43"/>
      <c r="L165" s="43">
        <v>0.35416666666666669</v>
      </c>
      <c r="M165" s="43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8">
        <v>25</v>
      </c>
      <c r="U165" s="4">
        <v>48</v>
      </c>
      <c r="V165" s="4">
        <f t="shared" si="4"/>
        <v>0</v>
      </c>
      <c r="W165" s="4">
        <f t="shared" si="5"/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45">
        <v>0.52777777777777779</v>
      </c>
      <c r="I166" s="43">
        <v>0.63194444444444442</v>
      </c>
      <c r="J166" s="4">
        <v>150</v>
      </c>
      <c r="K166" s="43"/>
      <c r="L166" s="45">
        <v>0.52777777777777779</v>
      </c>
      <c r="M166" s="43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8">
        <v>25</v>
      </c>
      <c r="U166" s="4">
        <v>48</v>
      </c>
      <c r="V166" s="4">
        <f t="shared" si="4"/>
        <v>0</v>
      </c>
      <c r="W166" s="4">
        <f t="shared" si="5"/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43">
        <v>0.625</v>
      </c>
      <c r="I167" s="43">
        <v>0.63541666666666663</v>
      </c>
      <c r="J167" s="4">
        <v>15</v>
      </c>
      <c r="K167" s="43"/>
      <c r="L167" s="43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8">
        <v>27</v>
      </c>
      <c r="U167" s="4">
        <v>48</v>
      </c>
      <c r="V167" s="4">
        <f t="shared" si="4"/>
        <v>0</v>
      </c>
      <c r="W167" s="4">
        <f t="shared" si="5"/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43">
        <v>0.77083333333333326</v>
      </c>
      <c r="J168" s="4">
        <v>150</v>
      </c>
      <c r="K168" s="43"/>
      <c r="L168" s="43">
        <v>0.66666666666666663</v>
      </c>
      <c r="M168" s="43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8">
        <v>27</v>
      </c>
      <c r="U168" s="4">
        <v>48</v>
      </c>
      <c r="V168" s="4">
        <f t="shared" si="4"/>
        <v>0</v>
      </c>
      <c r="W168" s="4">
        <f t="shared" si="5"/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45">
        <v>0.41666666666666669</v>
      </c>
      <c r="I169" s="43">
        <v>0.45833333333333337</v>
      </c>
      <c r="J169" s="4">
        <v>60</v>
      </c>
      <c r="K169" s="43"/>
      <c r="L169" s="45">
        <v>0.41666666666666669</v>
      </c>
      <c r="M169" s="43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8">
        <v>27</v>
      </c>
      <c r="U169" s="4">
        <v>48</v>
      </c>
      <c r="V169" s="4">
        <f t="shared" si="4"/>
        <v>0</v>
      </c>
      <c r="W169" s="4">
        <f t="shared" si="5"/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43">
        <v>0.64583333333333337</v>
      </c>
      <c r="I170" s="43">
        <v>0.66666666666666674</v>
      </c>
      <c r="J170" s="4">
        <v>30</v>
      </c>
      <c r="K170" s="43"/>
      <c r="L170" s="43">
        <v>0.64583333333333337</v>
      </c>
      <c r="M170" s="43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8">
        <v>27</v>
      </c>
      <c r="U170" s="4">
        <v>48</v>
      </c>
      <c r="V170" s="4">
        <f t="shared" si="4"/>
        <v>0</v>
      </c>
      <c r="W170" s="4">
        <f t="shared" si="5"/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43">
        <v>0.5</v>
      </c>
      <c r="I171" s="43">
        <v>0.6875</v>
      </c>
      <c r="J171" s="4">
        <v>270</v>
      </c>
      <c r="K171" s="43"/>
      <c r="L171" s="43">
        <v>0.5</v>
      </c>
      <c r="M171" s="43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8">
        <v>27</v>
      </c>
      <c r="U171" s="4">
        <v>48</v>
      </c>
      <c r="V171" s="4">
        <f t="shared" si="4"/>
        <v>0</v>
      </c>
      <c r="W171" s="4">
        <f t="shared" si="5"/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43">
        <v>0.375</v>
      </c>
      <c r="I172" s="43">
        <v>0.39583333333333331</v>
      </c>
      <c r="J172" s="4">
        <v>30</v>
      </c>
      <c r="K172" s="43"/>
      <c r="L172" s="43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8">
        <v>27</v>
      </c>
      <c r="U172" s="4">
        <v>48</v>
      </c>
      <c r="V172" s="4">
        <f t="shared" si="4"/>
        <v>0</v>
      </c>
      <c r="W172" s="4">
        <f t="shared" si="5"/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8">
        <v>27</v>
      </c>
      <c r="U173" s="4">
        <v>48</v>
      </c>
      <c r="V173" s="4">
        <f t="shared" si="4"/>
        <v>0</v>
      </c>
      <c r="W173" s="4">
        <f t="shared" si="5"/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43">
        <v>0.5</v>
      </c>
      <c r="J174" s="4">
        <v>90</v>
      </c>
      <c r="K174" s="43"/>
      <c r="L174" s="43">
        <v>0.4375</v>
      </c>
      <c r="M174" s="43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8">
        <v>27</v>
      </c>
      <c r="U174" s="4">
        <v>48</v>
      </c>
      <c r="V174" s="4">
        <f t="shared" si="4"/>
        <v>0</v>
      </c>
      <c r="W174" s="4">
        <f t="shared" si="5"/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45">
        <v>0.55208333333333337</v>
      </c>
      <c r="I175" s="43">
        <v>0.5625</v>
      </c>
      <c r="J175" s="4">
        <v>15</v>
      </c>
      <c r="K175" s="43"/>
      <c r="L175" s="45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8">
        <v>27</v>
      </c>
      <c r="U175" s="4">
        <v>48</v>
      </c>
      <c r="V175" s="4">
        <f t="shared" si="4"/>
        <v>0</v>
      </c>
      <c r="W175" s="4">
        <f t="shared" si="5"/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43">
        <v>0.61111111111111105</v>
      </c>
      <c r="J176" s="4">
        <v>60</v>
      </c>
      <c r="K176" s="43"/>
      <c r="L176" s="45">
        <v>0.56944444444444442</v>
      </c>
      <c r="M176" s="43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8">
        <v>27</v>
      </c>
      <c r="U176" s="4">
        <v>48</v>
      </c>
      <c r="V176" s="4">
        <f t="shared" si="4"/>
        <v>0</v>
      </c>
      <c r="W176" s="4">
        <f t="shared" si="5"/>
        <v>0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45">
        <v>0.6875</v>
      </c>
      <c r="I177" s="43">
        <v>0.70833333333333337</v>
      </c>
      <c r="J177" s="4">
        <v>30</v>
      </c>
      <c r="K177" s="43"/>
      <c r="L177" s="45">
        <v>0.6875</v>
      </c>
      <c r="M177" s="43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4"/>
      <c r="T177" s="48">
        <v>35</v>
      </c>
      <c r="U177" s="4">
        <v>48</v>
      </c>
      <c r="V177" s="4">
        <f t="shared" si="4"/>
        <v>0</v>
      </c>
      <c r="W177" s="4">
        <f t="shared" si="5"/>
        <v>0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45">
        <v>0.29166666666666669</v>
      </c>
      <c r="I178" s="43">
        <v>0.30208333333333331</v>
      </c>
      <c r="J178" s="4">
        <v>15</v>
      </c>
      <c r="K178" s="43"/>
      <c r="L178" s="45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4"/>
      <c r="T178" s="48">
        <v>35</v>
      </c>
      <c r="U178" s="4">
        <v>48</v>
      </c>
      <c r="V178" s="4">
        <f t="shared" si="4"/>
        <v>0</v>
      </c>
      <c r="W178" s="4">
        <f t="shared" si="5"/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4"/>
      <c r="T179" s="48">
        <v>35</v>
      </c>
      <c r="U179" s="4">
        <v>48</v>
      </c>
      <c r="V179" s="4">
        <f t="shared" si="4"/>
        <v>0</v>
      </c>
      <c r="W179" s="4">
        <f t="shared" si="5"/>
        <v>0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43">
        <v>0.45833333333333331</v>
      </c>
      <c r="J180" s="4">
        <v>120</v>
      </c>
      <c r="K180" s="43"/>
      <c r="L180" s="45">
        <v>0.39583333333333331</v>
      </c>
      <c r="M180" s="43">
        <v>0.45833333333333331</v>
      </c>
      <c r="N180" s="4">
        <v>120</v>
      </c>
      <c r="O180" s="6" t="s">
        <v>115</v>
      </c>
      <c r="P180" s="4"/>
      <c r="Q180" s="4"/>
      <c r="R180" s="4"/>
      <c r="S180" s="4"/>
      <c r="T180" s="48">
        <v>35</v>
      </c>
      <c r="U180" s="4">
        <v>48</v>
      </c>
      <c r="V180" s="4">
        <f t="shared" si="4"/>
        <v>0</v>
      </c>
      <c r="W180" s="4">
        <f t="shared" si="5"/>
        <v>0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43">
        <v>0.54166666666666663</v>
      </c>
      <c r="I181" s="43">
        <v>0.5625</v>
      </c>
      <c r="J181" s="4">
        <v>30</v>
      </c>
      <c r="K181" s="43"/>
      <c r="L181" s="43">
        <v>0.54166666666666663</v>
      </c>
      <c r="M181" s="43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4"/>
      <c r="T181" s="48">
        <v>30</v>
      </c>
      <c r="U181" s="4">
        <v>48</v>
      </c>
      <c r="V181" s="4">
        <f t="shared" si="4"/>
        <v>0</v>
      </c>
      <c r="W181" s="4">
        <f t="shared" si="5"/>
        <v>0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43">
        <v>0.5</v>
      </c>
      <c r="I182" s="43">
        <v>0.6875</v>
      </c>
      <c r="J182" s="4">
        <v>270</v>
      </c>
      <c r="K182" s="43"/>
      <c r="L182" s="43">
        <v>0.5</v>
      </c>
      <c r="M182" s="43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4"/>
      <c r="T182" s="48">
        <v>30</v>
      </c>
      <c r="U182" s="4">
        <v>48</v>
      </c>
      <c r="V182" s="4">
        <f t="shared" si="4"/>
        <v>0</v>
      </c>
      <c r="W182" s="4">
        <f t="shared" si="5"/>
        <v>0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43">
        <v>0.46875</v>
      </c>
      <c r="I183" s="43">
        <v>0.5</v>
      </c>
      <c r="J183" s="4">
        <v>45</v>
      </c>
      <c r="K183" s="43"/>
      <c r="L183" s="43">
        <v>0.46875</v>
      </c>
      <c r="M183" s="43">
        <v>0.5</v>
      </c>
      <c r="N183" s="4">
        <v>45</v>
      </c>
      <c r="O183" s="6" t="s">
        <v>290</v>
      </c>
      <c r="P183" s="4"/>
      <c r="Q183" s="4"/>
      <c r="R183" s="4"/>
      <c r="S183" s="4"/>
      <c r="T183" s="48">
        <v>30</v>
      </c>
      <c r="U183" s="4">
        <v>48</v>
      </c>
      <c r="V183" s="4">
        <f t="shared" si="4"/>
        <v>0</v>
      </c>
      <c r="W183" s="4">
        <f t="shared" si="5"/>
        <v>0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45">
        <v>0.3125</v>
      </c>
      <c r="I184" s="43">
        <v>0.41666666666666669</v>
      </c>
      <c r="J184" s="4">
        <v>150</v>
      </c>
      <c r="K184" s="43"/>
      <c r="L184" s="45">
        <v>0.3125</v>
      </c>
      <c r="M184" s="43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4"/>
      <c r="T184" s="48">
        <v>30</v>
      </c>
      <c r="U184" s="4">
        <v>48</v>
      </c>
      <c r="V184" s="4">
        <f t="shared" si="4"/>
        <v>0</v>
      </c>
      <c r="W184" s="4">
        <f t="shared" si="5"/>
        <v>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43">
        <v>0.45833333333333331</v>
      </c>
      <c r="I185" s="43">
        <v>0.48958333333333331</v>
      </c>
      <c r="J185" s="4">
        <v>45</v>
      </c>
      <c r="K185" s="43"/>
      <c r="L185" s="43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4"/>
      <c r="T185" s="48">
        <v>30</v>
      </c>
      <c r="U185" s="4">
        <v>48</v>
      </c>
      <c r="V185" s="4">
        <f t="shared" si="4"/>
        <v>0</v>
      </c>
      <c r="W185" s="4">
        <f t="shared" si="5"/>
        <v>0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43">
        <v>0.58333333333333326</v>
      </c>
      <c r="J186" s="4">
        <v>60</v>
      </c>
      <c r="K186" s="43"/>
      <c r="L186" s="43">
        <v>0.54166666666666663</v>
      </c>
      <c r="M186" s="43">
        <v>0.58333333333333326</v>
      </c>
      <c r="N186" s="4">
        <v>60</v>
      </c>
      <c r="O186" s="4" t="s">
        <v>110</v>
      </c>
      <c r="P186" s="4" t="s">
        <v>221</v>
      </c>
      <c r="Q186" s="4"/>
      <c r="R186" s="4"/>
      <c r="S186" s="4"/>
      <c r="T186" s="48">
        <v>30</v>
      </c>
      <c r="U186" s="4">
        <v>48</v>
      </c>
      <c r="V186" s="4">
        <f t="shared" si="4"/>
        <v>0</v>
      </c>
      <c r="W186" s="4">
        <f t="shared" si="5"/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45">
        <v>0.70833333333333337</v>
      </c>
      <c r="I187" s="43">
        <v>0.75</v>
      </c>
      <c r="J187" s="4">
        <v>60</v>
      </c>
      <c r="K187" s="43"/>
      <c r="L187" s="45">
        <v>0.70833333333333337</v>
      </c>
      <c r="M187" s="43">
        <v>0.75</v>
      </c>
      <c r="N187" s="4">
        <v>60</v>
      </c>
      <c r="O187" s="6" t="s">
        <v>26</v>
      </c>
      <c r="P187" s="4"/>
      <c r="Q187" s="4"/>
      <c r="R187" s="4"/>
      <c r="S187" s="4"/>
      <c r="T187" s="48">
        <v>30</v>
      </c>
      <c r="U187" s="4">
        <v>48</v>
      </c>
      <c r="V187" s="4">
        <f t="shared" si="4"/>
        <v>0</v>
      </c>
      <c r="W187" s="4">
        <f t="shared" si="5"/>
        <v>0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45">
        <v>0.6875</v>
      </c>
      <c r="I188" s="43">
        <v>0.70833333333333337</v>
      </c>
      <c r="J188" s="4">
        <v>60</v>
      </c>
      <c r="K188" s="43"/>
      <c r="L188" s="45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4"/>
      <c r="T188" s="48">
        <v>30</v>
      </c>
      <c r="U188" s="4">
        <v>48</v>
      </c>
      <c r="V188" s="4">
        <f t="shared" si="4"/>
        <v>0</v>
      </c>
      <c r="W188" s="4">
        <f t="shared" si="5"/>
        <v>0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43">
        <v>0.83333333333333337</v>
      </c>
      <c r="J189" s="4">
        <v>90</v>
      </c>
      <c r="K189" s="43"/>
      <c r="L189" s="45">
        <v>0.77083333333333337</v>
      </c>
      <c r="M189" s="43">
        <v>0.83333333333333337</v>
      </c>
      <c r="N189" s="4">
        <v>90</v>
      </c>
      <c r="O189" s="6" t="s">
        <v>26</v>
      </c>
      <c r="P189" s="4" t="s">
        <v>711</v>
      </c>
      <c r="Q189" s="4"/>
      <c r="R189" s="4"/>
      <c r="S189" s="4"/>
      <c r="T189" s="48">
        <v>30</v>
      </c>
      <c r="U189" s="4">
        <v>48</v>
      </c>
      <c r="V189" s="4">
        <f t="shared" si="4"/>
        <v>0</v>
      </c>
      <c r="W189" s="4">
        <f t="shared" si="5"/>
        <v>0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45">
        <v>0.35416666666666669</v>
      </c>
      <c r="I190" s="43">
        <v>0.375</v>
      </c>
      <c r="J190" s="4">
        <v>30</v>
      </c>
      <c r="K190" s="43"/>
      <c r="L190" s="45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4"/>
      <c r="T190" s="48">
        <v>30</v>
      </c>
      <c r="U190" s="4">
        <v>48</v>
      </c>
      <c r="V190" s="4">
        <f t="shared" si="4"/>
        <v>0</v>
      </c>
      <c r="W190" s="4">
        <f t="shared" si="5"/>
        <v>0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43">
        <v>0.4375</v>
      </c>
      <c r="J191" s="4">
        <v>60</v>
      </c>
      <c r="K191" s="43"/>
      <c r="L191" s="45">
        <v>0.39583333333333331</v>
      </c>
      <c r="M191" s="43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4"/>
      <c r="T191" s="48">
        <v>30</v>
      </c>
      <c r="U191" s="4">
        <v>48</v>
      </c>
      <c r="V191" s="4">
        <f t="shared" si="4"/>
        <v>0</v>
      </c>
      <c r="W191" s="4">
        <f t="shared" si="5"/>
        <v>0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43">
        <v>0.39583333333333331</v>
      </c>
      <c r="I192" s="43">
        <v>0.40625</v>
      </c>
      <c r="J192" s="4">
        <v>15</v>
      </c>
      <c r="K192" s="43"/>
      <c r="L192" s="43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4"/>
      <c r="T192" s="48">
        <v>30</v>
      </c>
      <c r="U192" s="4">
        <v>48</v>
      </c>
      <c r="V192" s="4">
        <f t="shared" si="4"/>
        <v>0</v>
      </c>
      <c r="W192" s="4">
        <f t="shared" si="5"/>
        <v>0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4"/>
      <c r="T193" s="48">
        <v>30</v>
      </c>
      <c r="U193" s="4">
        <v>48</v>
      </c>
      <c r="V193" s="4">
        <f t="shared" si="4"/>
        <v>0</v>
      </c>
      <c r="W193" s="4">
        <f t="shared" si="5"/>
        <v>0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43">
        <v>0.4375</v>
      </c>
      <c r="J194" s="4">
        <v>15</v>
      </c>
      <c r="K194" s="43"/>
      <c r="L194" s="45">
        <v>0.42708333333333331</v>
      </c>
      <c r="M194" s="43">
        <v>0.4375</v>
      </c>
      <c r="N194" s="4">
        <v>15</v>
      </c>
      <c r="O194" s="6" t="s">
        <v>46</v>
      </c>
      <c r="P194" s="4" t="s">
        <v>47</v>
      </c>
      <c r="Q194" s="4"/>
      <c r="R194" s="4"/>
      <c r="S194" s="4"/>
      <c r="T194" s="48">
        <v>30</v>
      </c>
      <c r="U194" s="4">
        <v>48</v>
      </c>
      <c r="V194" s="4">
        <f t="shared" ref="V194:V216" si="6">T194*S194</f>
        <v>0</v>
      </c>
      <c r="W194" s="4">
        <f t="shared" ref="W194:W216" si="7"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43">
        <v>0.5</v>
      </c>
      <c r="I195" s="43">
        <v>0.6875</v>
      </c>
      <c r="J195" s="4">
        <v>270</v>
      </c>
      <c r="K195" s="43"/>
      <c r="L195" s="43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4"/>
      <c r="T195" s="48">
        <v>30</v>
      </c>
      <c r="U195" s="4">
        <v>48</v>
      </c>
      <c r="V195" s="4">
        <f t="shared" si="6"/>
        <v>0</v>
      </c>
      <c r="W195" s="4">
        <f t="shared" si="7"/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43">
        <v>0.58333333333333337</v>
      </c>
      <c r="J196" s="4">
        <v>30</v>
      </c>
      <c r="K196" s="43"/>
      <c r="L196" s="43">
        <v>0.5625</v>
      </c>
      <c r="M196" s="43">
        <v>0.58333333333333337</v>
      </c>
      <c r="N196" s="4">
        <v>30</v>
      </c>
      <c r="O196" s="4" t="s">
        <v>110</v>
      </c>
      <c r="P196" s="4" t="s">
        <v>160</v>
      </c>
      <c r="Q196" s="4"/>
      <c r="R196" s="4"/>
      <c r="S196" s="4"/>
      <c r="T196" s="48">
        <v>30</v>
      </c>
      <c r="U196" s="4">
        <v>48</v>
      </c>
      <c r="V196" s="4">
        <f t="shared" si="6"/>
        <v>0</v>
      </c>
      <c r="W196" s="4">
        <f t="shared" si="7"/>
        <v>0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43">
        <v>0.4375</v>
      </c>
      <c r="I197" s="43">
        <v>0.45833333333333331</v>
      </c>
      <c r="J197" s="4">
        <v>30</v>
      </c>
      <c r="K197" s="43"/>
      <c r="L197" s="43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4"/>
      <c r="T197" s="48">
        <v>30</v>
      </c>
      <c r="U197" s="4">
        <v>48</v>
      </c>
      <c r="V197" s="4">
        <f t="shared" si="6"/>
        <v>0</v>
      </c>
      <c r="W197" s="4">
        <f t="shared" si="7"/>
        <v>0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4"/>
      <c r="T198" s="48">
        <v>30</v>
      </c>
      <c r="U198" s="4">
        <v>48</v>
      </c>
      <c r="V198" s="4">
        <f t="shared" si="6"/>
        <v>0</v>
      </c>
      <c r="W198" s="4">
        <f t="shared" si="7"/>
        <v>0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43">
        <v>0.73958333333333337</v>
      </c>
      <c r="J199" s="4">
        <v>15</v>
      </c>
      <c r="K199" s="43"/>
      <c r="L199" s="43">
        <v>0.72916666666666663</v>
      </c>
      <c r="M199" s="43">
        <v>0.73958333333333337</v>
      </c>
      <c r="N199" s="4">
        <v>15</v>
      </c>
      <c r="O199" s="4" t="s">
        <v>26</v>
      </c>
      <c r="P199" s="4"/>
      <c r="Q199" s="4"/>
      <c r="R199" s="4"/>
      <c r="S199" s="4"/>
      <c r="T199" s="48">
        <v>30</v>
      </c>
      <c r="U199" s="4">
        <v>48</v>
      </c>
      <c r="V199" s="4">
        <f t="shared" si="6"/>
        <v>0</v>
      </c>
      <c r="W199" s="4">
        <f t="shared" si="7"/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43">
        <v>0.35416666666666669</v>
      </c>
      <c r="I200" s="43">
        <v>0.45833333333333331</v>
      </c>
      <c r="J200" s="4">
        <v>150</v>
      </c>
      <c r="K200" s="43"/>
      <c r="L200" s="43">
        <v>0.35416666666666669</v>
      </c>
      <c r="M200" s="43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"/>
      <c r="U200" s="4">
        <v>48</v>
      </c>
      <c r="V200" s="4">
        <f t="shared" si="6"/>
        <v>0</v>
      </c>
      <c r="W200" s="4">
        <f t="shared" si="7"/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45">
        <v>0.5625</v>
      </c>
      <c r="I201" s="43">
        <v>0.58333333333333337</v>
      </c>
      <c r="J201" s="4">
        <v>30</v>
      </c>
      <c r="K201" s="43"/>
      <c r="L201" s="45">
        <v>0.5625</v>
      </c>
      <c r="M201" s="43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8">
        <v>40</v>
      </c>
      <c r="U201" s="4">
        <v>48</v>
      </c>
      <c r="V201" s="4">
        <f t="shared" si="6"/>
        <v>0</v>
      </c>
      <c r="W201" s="4">
        <f t="shared" si="7"/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45">
        <v>0.375</v>
      </c>
      <c r="I202" s="43">
        <v>0.41666666666666669</v>
      </c>
      <c r="J202" s="4">
        <v>60</v>
      </c>
      <c r="K202" s="43"/>
      <c r="L202" s="45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8">
        <v>30</v>
      </c>
      <c r="U202" s="4">
        <v>48</v>
      </c>
      <c r="V202" s="4">
        <f t="shared" si="6"/>
        <v>0</v>
      </c>
      <c r="W202" s="4">
        <f t="shared" si="7"/>
        <v>0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43">
        <v>0.52083333333333337</v>
      </c>
      <c r="J203" s="4">
        <v>150</v>
      </c>
      <c r="K203" s="43"/>
      <c r="L203" s="45">
        <v>0.41666666666666669</v>
      </c>
      <c r="M203" s="43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4"/>
      <c r="T203" s="48">
        <v>30</v>
      </c>
      <c r="U203" s="4">
        <v>48</v>
      </c>
      <c r="V203" s="4">
        <f t="shared" si="6"/>
        <v>0</v>
      </c>
      <c r="W203" s="4">
        <f t="shared" si="7"/>
        <v>0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45">
        <v>0.66666666666666663</v>
      </c>
      <c r="I204" s="43">
        <v>0.6875</v>
      </c>
      <c r="J204" s="4">
        <v>30</v>
      </c>
      <c r="K204" s="43"/>
      <c r="L204" s="45">
        <v>0.66666666666666663</v>
      </c>
      <c r="M204" s="43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4"/>
      <c r="T204" s="48">
        <v>30</v>
      </c>
      <c r="U204" s="4">
        <v>48</v>
      </c>
      <c r="V204" s="4">
        <f t="shared" si="6"/>
        <v>0</v>
      </c>
      <c r="W204" s="4">
        <f t="shared" si="7"/>
        <v>0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45">
        <v>0.41666666666666669</v>
      </c>
      <c r="I205" s="43">
        <v>0.42708333333333337</v>
      </c>
      <c r="J205" s="4">
        <v>15</v>
      </c>
      <c r="K205" s="43"/>
      <c r="L205" s="45">
        <v>0.41666666666666669</v>
      </c>
      <c r="M205" s="43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8">
        <v>30</v>
      </c>
      <c r="U205" s="4">
        <v>48</v>
      </c>
      <c r="V205" s="4">
        <f t="shared" si="6"/>
        <v>0</v>
      </c>
      <c r="W205" s="4">
        <f t="shared" si="7"/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45">
        <v>0.5625</v>
      </c>
      <c r="I206" s="43">
        <v>0.58333333333333337</v>
      </c>
      <c r="J206" s="4">
        <v>30</v>
      </c>
      <c r="K206" s="43"/>
      <c r="L206" s="45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8">
        <v>32</v>
      </c>
      <c r="U206" s="4">
        <v>48</v>
      </c>
      <c r="V206" s="4">
        <f t="shared" si="6"/>
        <v>0</v>
      </c>
      <c r="W206" s="4">
        <f t="shared" si="7"/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43">
        <v>0.8125</v>
      </c>
      <c r="J207" s="4">
        <v>300</v>
      </c>
      <c r="K207" s="43"/>
      <c r="L207" s="45">
        <v>0.60416666666666663</v>
      </c>
      <c r="M207" s="43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8">
        <v>32</v>
      </c>
      <c r="U207" s="4">
        <v>48</v>
      </c>
      <c r="V207" s="4">
        <f t="shared" si="6"/>
        <v>0</v>
      </c>
      <c r="W207" s="4">
        <f t="shared" si="7"/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43">
        <v>0.45833333333333331</v>
      </c>
      <c r="I208" s="43">
        <v>0.5</v>
      </c>
      <c r="J208" s="4">
        <v>60</v>
      </c>
      <c r="K208" s="43"/>
      <c r="L208" s="43">
        <v>0.45833333333333331</v>
      </c>
      <c r="M208" s="43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4"/>
      <c r="T208" s="48">
        <v>32</v>
      </c>
      <c r="U208" s="4">
        <v>48</v>
      </c>
      <c r="V208" s="4">
        <f t="shared" si="6"/>
        <v>0</v>
      </c>
      <c r="W208" s="4">
        <f t="shared" si="7"/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45">
        <v>0.41666666666666669</v>
      </c>
      <c r="I209" s="43">
        <v>0.45833333333333337</v>
      </c>
      <c r="J209" s="4">
        <v>60</v>
      </c>
      <c r="K209" s="43"/>
      <c r="L209" s="45">
        <v>0.41666666666666669</v>
      </c>
      <c r="M209" s="43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4"/>
      <c r="T209" s="48">
        <v>32</v>
      </c>
      <c r="U209" s="4">
        <v>48</v>
      </c>
      <c r="V209" s="4">
        <f t="shared" si="6"/>
        <v>0</v>
      </c>
      <c r="W209" s="4">
        <f t="shared" si="7"/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45">
        <v>0.41666666666666669</v>
      </c>
      <c r="I210" s="43">
        <v>0.4375</v>
      </c>
      <c r="J210" s="4">
        <v>30</v>
      </c>
      <c r="K210" s="43"/>
      <c r="L210" s="45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8">
        <v>38</v>
      </c>
      <c r="U210" s="4">
        <v>48</v>
      </c>
      <c r="V210" s="4">
        <f t="shared" si="6"/>
        <v>0</v>
      </c>
      <c r="W210" s="4">
        <f t="shared" si="7"/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43">
        <v>0.58333333333333337</v>
      </c>
      <c r="J211" s="4">
        <v>150</v>
      </c>
      <c r="K211" s="43"/>
      <c r="L211" s="45">
        <v>0.47916666666666669</v>
      </c>
      <c r="M211" s="43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8">
        <v>38</v>
      </c>
      <c r="U211" s="4">
        <v>48</v>
      </c>
      <c r="V211" s="4">
        <f t="shared" si="6"/>
        <v>0</v>
      </c>
      <c r="W211" s="4">
        <f t="shared" si="7"/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45">
        <v>0.625</v>
      </c>
      <c r="I212" s="43">
        <v>0.64583333333333337</v>
      </c>
      <c r="J212" s="4">
        <v>30</v>
      </c>
      <c r="K212" s="43"/>
      <c r="L212" s="45">
        <v>0.625</v>
      </c>
      <c r="M212" s="43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8">
        <v>38</v>
      </c>
      <c r="U212" s="4">
        <v>48</v>
      </c>
      <c r="V212" s="4">
        <f t="shared" si="6"/>
        <v>0</v>
      </c>
      <c r="W212" s="4">
        <f t="shared" si="7"/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45">
        <v>0.64583333333333337</v>
      </c>
      <c r="I213" s="43">
        <v>0.66666666666666674</v>
      </c>
      <c r="J213" s="4">
        <v>30</v>
      </c>
      <c r="K213" s="43"/>
      <c r="L213" s="45">
        <v>0.64583333333333337</v>
      </c>
      <c r="M213" s="43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8">
        <v>38</v>
      </c>
      <c r="U213" s="4">
        <v>48</v>
      </c>
      <c r="V213" s="4">
        <f t="shared" si="6"/>
        <v>0</v>
      </c>
      <c r="W213" s="4">
        <f t="shared" si="7"/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45">
        <v>0.39583333333333331</v>
      </c>
      <c r="I214" s="43">
        <v>0.41666666666666663</v>
      </c>
      <c r="J214" s="4">
        <v>30</v>
      </c>
      <c r="K214" s="43"/>
      <c r="L214" s="45">
        <v>0.39583333333333331</v>
      </c>
      <c r="M214" s="43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8">
        <v>25</v>
      </c>
      <c r="U214" s="4">
        <v>48</v>
      </c>
      <c r="V214" s="4">
        <f t="shared" si="6"/>
        <v>0</v>
      </c>
      <c r="W214" s="4">
        <f t="shared" si="7"/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45">
        <v>0.41666666666666669</v>
      </c>
      <c r="I215" s="43">
        <v>0.4375</v>
      </c>
      <c r="J215" s="4">
        <v>30</v>
      </c>
      <c r="K215" s="43"/>
      <c r="L215" s="45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8">
        <v>30</v>
      </c>
      <c r="U215" s="4">
        <v>48</v>
      </c>
      <c r="V215" s="4">
        <f t="shared" si="6"/>
        <v>0</v>
      </c>
      <c r="W215" s="4">
        <f t="shared" si="7"/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43">
        <v>0.54166666666666674</v>
      </c>
      <c r="J216" s="4">
        <v>90</v>
      </c>
      <c r="K216" s="43"/>
      <c r="L216" s="45">
        <v>0.47916666666666669</v>
      </c>
      <c r="M216" s="43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8">
        <v>30</v>
      </c>
      <c r="U216" s="4">
        <v>48</v>
      </c>
      <c r="V216" s="4">
        <f t="shared" si="6"/>
        <v>0</v>
      </c>
      <c r="W216" s="4">
        <f t="shared" si="7"/>
        <v>0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16"/>
  <sheetViews>
    <sheetView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52">
        <v>0.58333333333333337</v>
      </c>
      <c r="I2" s="56">
        <v>0.61458333333333337</v>
      </c>
      <c r="J2" s="4">
        <v>45</v>
      </c>
      <c r="K2" s="43"/>
      <c r="L2" s="52">
        <v>0.58333333333333337</v>
      </c>
      <c r="M2" s="56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50">
        <v>1</v>
      </c>
      <c r="T2" s="48">
        <v>30</v>
      </c>
      <c r="U2" s="4">
        <v>48</v>
      </c>
      <c r="V2" s="4">
        <f t="shared" ref="V2:V65" si="0">T2*S2</f>
        <v>30</v>
      </c>
      <c r="W2" s="4">
        <f t="shared" ref="W2:W65" si="1">U2*S2</f>
        <v>48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54">
        <v>0.5625</v>
      </c>
      <c r="I3" s="58">
        <v>0.57291666666666663</v>
      </c>
      <c r="J3" s="9">
        <v>15</v>
      </c>
      <c r="K3" s="44"/>
      <c r="L3" s="54">
        <v>0.5625</v>
      </c>
      <c r="M3" s="58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57">
        <v>1</v>
      </c>
      <c r="T3" s="49">
        <v>30</v>
      </c>
      <c r="U3" s="9">
        <v>48</v>
      </c>
      <c r="V3" s="4">
        <f t="shared" si="0"/>
        <v>30</v>
      </c>
      <c r="W3" s="4">
        <f t="shared" si="1"/>
        <v>48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52">
        <v>0.39583333333333331</v>
      </c>
      <c r="I4" s="56">
        <v>0.41666666666666663</v>
      </c>
      <c r="J4" s="4">
        <v>30</v>
      </c>
      <c r="K4" s="43"/>
      <c r="L4" s="52">
        <v>0.39583333333333331</v>
      </c>
      <c r="M4" s="56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50">
        <v>1</v>
      </c>
      <c r="T4" s="48">
        <v>30</v>
      </c>
      <c r="U4" s="4">
        <v>48</v>
      </c>
      <c r="V4" s="4">
        <f t="shared" si="0"/>
        <v>30</v>
      </c>
      <c r="W4" s="4">
        <f t="shared" si="1"/>
        <v>48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52">
        <v>0.5625</v>
      </c>
      <c r="I5" s="56">
        <v>0.72916666666666663</v>
      </c>
      <c r="J5" s="4">
        <v>240</v>
      </c>
      <c r="K5" s="43"/>
      <c r="L5" s="52">
        <v>0.5625</v>
      </c>
      <c r="M5" s="56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50">
        <v>4</v>
      </c>
      <c r="T5" s="48">
        <v>30</v>
      </c>
      <c r="U5" s="4">
        <v>48</v>
      </c>
      <c r="V5" s="4">
        <f t="shared" si="0"/>
        <v>120</v>
      </c>
      <c r="W5" s="4">
        <f t="shared" si="1"/>
        <v>192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52">
        <v>0.47916666666666669</v>
      </c>
      <c r="I6" s="43">
        <v>0.49305555555555558</v>
      </c>
      <c r="J6" s="4">
        <v>20</v>
      </c>
      <c r="K6" s="43"/>
      <c r="L6" s="52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53">
        <v>0.5</v>
      </c>
      <c r="T6" s="48">
        <v>30</v>
      </c>
      <c r="U6" s="4">
        <v>48</v>
      </c>
      <c r="V6" s="4">
        <f t="shared" si="0"/>
        <v>15</v>
      </c>
      <c r="W6" s="4">
        <f t="shared" si="1"/>
        <v>24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56">
        <v>0.51388888888888884</v>
      </c>
      <c r="J7" s="4">
        <v>20</v>
      </c>
      <c r="K7" s="43"/>
      <c r="L7" s="45">
        <v>0.5</v>
      </c>
      <c r="M7" s="56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50">
        <v>1</v>
      </c>
      <c r="T7" s="48">
        <v>30</v>
      </c>
      <c r="U7" s="4">
        <v>48</v>
      </c>
      <c r="V7" s="4">
        <f t="shared" si="0"/>
        <v>30</v>
      </c>
      <c r="W7" s="4">
        <f t="shared" si="1"/>
        <v>48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52">
        <v>0.45833333333333331</v>
      </c>
      <c r="I8" s="56">
        <v>0.47916666666666663</v>
      </c>
      <c r="J8" s="4">
        <v>30</v>
      </c>
      <c r="K8" s="43"/>
      <c r="L8" s="52">
        <v>0.45833333333333331</v>
      </c>
      <c r="M8" s="56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50">
        <v>1</v>
      </c>
      <c r="T8" s="48">
        <v>30</v>
      </c>
      <c r="U8" s="4">
        <v>48</v>
      </c>
      <c r="V8" s="4">
        <f t="shared" si="0"/>
        <v>30</v>
      </c>
      <c r="W8" s="4">
        <f t="shared" si="1"/>
        <v>48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52">
        <v>0.375</v>
      </c>
      <c r="I9" s="43">
        <v>0.41666666666666669</v>
      </c>
      <c r="J9" s="4">
        <v>60</v>
      </c>
      <c r="K9" s="43"/>
      <c r="L9" s="52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53">
        <v>1</v>
      </c>
      <c r="T9" s="48">
        <v>30</v>
      </c>
      <c r="U9" s="4">
        <v>48</v>
      </c>
      <c r="V9" s="4">
        <f t="shared" si="0"/>
        <v>30</v>
      </c>
      <c r="W9" s="4">
        <f t="shared" si="1"/>
        <v>48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56">
        <v>0.45833333333333337</v>
      </c>
      <c r="J10" s="4">
        <v>60</v>
      </c>
      <c r="K10" s="43"/>
      <c r="L10" s="43">
        <v>0.41666666666666669</v>
      </c>
      <c r="M10" s="56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50">
        <v>2</v>
      </c>
      <c r="T10" s="48">
        <v>30</v>
      </c>
      <c r="U10" s="4">
        <v>48</v>
      </c>
      <c r="V10" s="4">
        <f t="shared" si="0"/>
        <v>60</v>
      </c>
      <c r="W10" s="4">
        <f t="shared" si="1"/>
        <v>96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52">
        <v>0.53125</v>
      </c>
      <c r="I11" s="43">
        <v>0.58333333333333337</v>
      </c>
      <c r="J11" s="4">
        <v>75</v>
      </c>
      <c r="K11" s="43"/>
      <c r="L11" s="43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53">
        <v>1.25</v>
      </c>
      <c r="T11" s="48">
        <v>30</v>
      </c>
      <c r="U11" s="4">
        <v>48</v>
      </c>
      <c r="V11" s="4">
        <f t="shared" si="0"/>
        <v>37.5</v>
      </c>
      <c r="W11" s="4">
        <f t="shared" si="1"/>
        <v>60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43">
        <v>0.625</v>
      </c>
      <c r="J12" s="4">
        <v>60</v>
      </c>
      <c r="K12" s="43"/>
      <c r="L12" s="43">
        <v>0.58333333333333337</v>
      </c>
      <c r="M12" s="43">
        <v>0.625</v>
      </c>
      <c r="N12" s="4">
        <v>60</v>
      </c>
      <c r="O12" s="4" t="s">
        <v>167</v>
      </c>
      <c r="P12" s="4"/>
      <c r="Q12" s="4"/>
      <c r="R12" s="4"/>
      <c r="S12" s="53">
        <v>1</v>
      </c>
      <c r="T12" s="48">
        <v>30</v>
      </c>
      <c r="U12" s="4">
        <v>48</v>
      </c>
      <c r="V12" s="4">
        <f t="shared" si="0"/>
        <v>30</v>
      </c>
      <c r="W12" s="4">
        <f t="shared" si="1"/>
        <v>48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45">
        <v>0.40277777777777773</v>
      </c>
      <c r="I13" s="43">
        <v>0.42361111111111105</v>
      </c>
      <c r="J13" s="4">
        <v>30</v>
      </c>
      <c r="K13" s="43"/>
      <c r="L13" s="45">
        <v>0.40277777777777773</v>
      </c>
      <c r="M13" s="43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4"/>
      <c r="T13" s="48">
        <v>30</v>
      </c>
      <c r="U13" s="4">
        <v>48</v>
      </c>
      <c r="V13" s="4">
        <f t="shared" si="0"/>
        <v>0</v>
      </c>
      <c r="W13" s="4">
        <f t="shared" si="1"/>
        <v>0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45">
        <v>0.6875</v>
      </c>
      <c r="I14" s="43">
        <v>0.70833333333333337</v>
      </c>
      <c r="J14" s="4">
        <v>30</v>
      </c>
      <c r="K14" s="43"/>
      <c r="L14" s="45">
        <v>0.6875</v>
      </c>
      <c r="M14" s="43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4"/>
      <c r="T14" s="48">
        <v>32</v>
      </c>
      <c r="U14" s="4">
        <v>48</v>
      </c>
      <c r="V14" s="4">
        <f t="shared" si="0"/>
        <v>0</v>
      </c>
      <c r="W14" s="4">
        <f t="shared" si="1"/>
        <v>0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45">
        <v>0.63541666666666663</v>
      </c>
      <c r="I15" s="43">
        <v>0.65625</v>
      </c>
      <c r="J15" s="4">
        <v>45</v>
      </c>
      <c r="K15" s="43"/>
      <c r="L15" s="45">
        <v>0.63541666666666663</v>
      </c>
      <c r="M15" s="43">
        <v>0.65625</v>
      </c>
      <c r="N15" s="4">
        <v>45</v>
      </c>
      <c r="O15" s="6" t="s">
        <v>695</v>
      </c>
      <c r="P15" s="4"/>
      <c r="Q15" s="4"/>
      <c r="R15" s="4"/>
      <c r="S15" s="4"/>
      <c r="T15" s="48">
        <v>32</v>
      </c>
      <c r="U15" s="4">
        <v>48</v>
      </c>
      <c r="V15" s="4">
        <f t="shared" si="0"/>
        <v>0</v>
      </c>
      <c r="W15" s="4">
        <f t="shared" si="1"/>
        <v>0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45">
        <v>0.33333333333333331</v>
      </c>
      <c r="I16" s="43">
        <v>0.35416666666666663</v>
      </c>
      <c r="J16" s="4">
        <v>30</v>
      </c>
      <c r="K16" s="43"/>
      <c r="L16" s="45">
        <v>0.33333333333333331</v>
      </c>
      <c r="M16" s="43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4"/>
      <c r="T16" s="48">
        <v>32</v>
      </c>
      <c r="U16" s="4">
        <v>48</v>
      </c>
      <c r="V16" s="4">
        <f t="shared" si="0"/>
        <v>0</v>
      </c>
      <c r="W16" s="4">
        <f t="shared" si="1"/>
        <v>0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45">
        <v>0.36458333333333331</v>
      </c>
      <c r="I17" s="43">
        <v>0.375</v>
      </c>
      <c r="J17" s="4">
        <v>15</v>
      </c>
      <c r="K17" s="43"/>
      <c r="L17" s="45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4"/>
      <c r="T17" s="48">
        <v>32</v>
      </c>
      <c r="U17" s="4">
        <v>48</v>
      </c>
      <c r="V17" s="4">
        <f t="shared" si="0"/>
        <v>0</v>
      </c>
      <c r="W17" s="4">
        <f t="shared" si="1"/>
        <v>0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4"/>
      <c r="T18" s="48">
        <v>32</v>
      </c>
      <c r="U18" s="4">
        <v>48</v>
      </c>
      <c r="V18" s="4">
        <f t="shared" si="0"/>
        <v>0</v>
      </c>
      <c r="W18" s="4">
        <f t="shared" si="1"/>
        <v>0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43">
        <v>0.4236111111111111</v>
      </c>
      <c r="J19" s="4">
        <v>40</v>
      </c>
      <c r="K19" s="43"/>
      <c r="L19" s="45">
        <v>0.39583333333333331</v>
      </c>
      <c r="M19" s="43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4"/>
      <c r="T19" s="48">
        <v>32</v>
      </c>
      <c r="U19" s="4">
        <v>48</v>
      </c>
      <c r="V19" s="4">
        <f t="shared" si="0"/>
        <v>0</v>
      </c>
      <c r="W19" s="4">
        <f t="shared" si="1"/>
        <v>0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45">
        <v>0.5</v>
      </c>
      <c r="I20" s="43">
        <v>0.51041666666666663</v>
      </c>
      <c r="J20" s="4">
        <v>15</v>
      </c>
      <c r="K20" s="43"/>
      <c r="L20" s="45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4"/>
      <c r="T20" s="48">
        <v>32</v>
      </c>
      <c r="U20" s="4">
        <v>48</v>
      </c>
      <c r="V20" s="4">
        <f t="shared" si="0"/>
        <v>0</v>
      </c>
      <c r="W20" s="4">
        <f t="shared" si="1"/>
        <v>0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4"/>
      <c r="T21" s="48">
        <v>32</v>
      </c>
      <c r="U21" s="4">
        <v>48</v>
      </c>
      <c r="V21" s="4">
        <f t="shared" si="0"/>
        <v>0</v>
      </c>
      <c r="W21" s="4">
        <f t="shared" si="1"/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43">
        <v>0.54861111111111116</v>
      </c>
      <c r="J22" s="4">
        <v>40</v>
      </c>
      <c r="K22" s="43"/>
      <c r="L22" s="43">
        <v>0.52777777777777779</v>
      </c>
      <c r="M22" s="43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4"/>
      <c r="T22" s="48">
        <v>32</v>
      </c>
      <c r="U22" s="4">
        <v>48</v>
      </c>
      <c r="V22" s="4">
        <f t="shared" si="0"/>
        <v>0</v>
      </c>
      <c r="W22" s="4">
        <f t="shared" si="1"/>
        <v>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43">
        <v>0.55208333333333337</v>
      </c>
      <c r="I23" s="43">
        <v>0.5625</v>
      </c>
      <c r="J23" s="4">
        <v>15</v>
      </c>
      <c r="K23" s="43"/>
      <c r="L23" s="43">
        <v>0.55208333333333337</v>
      </c>
      <c r="M23" s="43">
        <v>0.5625</v>
      </c>
      <c r="N23" s="4">
        <v>15</v>
      </c>
      <c r="O23" s="4" t="s">
        <v>107</v>
      </c>
      <c r="P23" s="4" t="s">
        <v>523</v>
      </c>
      <c r="Q23" s="4"/>
      <c r="R23" s="4"/>
      <c r="S23" s="4"/>
      <c r="T23" s="48">
        <v>32</v>
      </c>
      <c r="U23" s="4">
        <v>48</v>
      </c>
      <c r="V23" s="4">
        <f t="shared" si="0"/>
        <v>0</v>
      </c>
      <c r="W23" s="4">
        <f t="shared" si="1"/>
        <v>0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45">
        <v>0.4375</v>
      </c>
      <c r="I24" s="43">
        <v>0.45833333333333331</v>
      </c>
      <c r="J24" s="4">
        <v>30</v>
      </c>
      <c r="K24" s="43"/>
      <c r="L24" s="45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4"/>
      <c r="T24" s="48">
        <v>32</v>
      </c>
      <c r="U24" s="4">
        <v>48</v>
      </c>
      <c r="V24" s="4">
        <f t="shared" si="0"/>
        <v>0</v>
      </c>
      <c r="W24" s="4">
        <f t="shared" si="1"/>
        <v>0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43">
        <v>0.5</v>
      </c>
      <c r="J25" s="4">
        <v>45</v>
      </c>
      <c r="K25" s="43"/>
      <c r="L25" s="43">
        <v>0.46875</v>
      </c>
      <c r="M25" s="43">
        <v>0.5</v>
      </c>
      <c r="N25" s="4">
        <v>45</v>
      </c>
      <c r="O25" s="4" t="s">
        <v>82</v>
      </c>
      <c r="P25" s="4" t="s">
        <v>83</v>
      </c>
      <c r="Q25" s="4"/>
      <c r="R25" s="4"/>
      <c r="S25" s="4"/>
      <c r="T25" s="48">
        <v>32</v>
      </c>
      <c r="U25" s="4">
        <v>48</v>
      </c>
      <c r="V25" s="4">
        <f t="shared" si="0"/>
        <v>0</v>
      </c>
      <c r="W25" s="4">
        <f t="shared" si="1"/>
        <v>0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45">
        <v>0.54166666666666663</v>
      </c>
      <c r="I26" s="43">
        <v>0.57638888888888895</v>
      </c>
      <c r="J26" s="4">
        <v>50</v>
      </c>
      <c r="K26" s="43"/>
      <c r="L26" s="45">
        <v>0.54166666666666663</v>
      </c>
      <c r="M26" s="43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4"/>
      <c r="T26" s="48">
        <v>32</v>
      </c>
      <c r="U26" s="4">
        <v>48</v>
      </c>
      <c r="V26" s="4">
        <f t="shared" si="0"/>
        <v>0</v>
      </c>
      <c r="W26" s="4">
        <f t="shared" si="1"/>
        <v>0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45">
        <v>0.39583333333333331</v>
      </c>
      <c r="I27" s="43">
        <v>0.41666666666666663</v>
      </c>
      <c r="J27" s="4">
        <v>30</v>
      </c>
      <c r="K27" s="43"/>
      <c r="L27" s="45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4"/>
      <c r="T27" s="48">
        <v>32</v>
      </c>
      <c r="U27" s="4">
        <v>48</v>
      </c>
      <c r="V27" s="4">
        <f t="shared" si="0"/>
        <v>0</v>
      </c>
      <c r="W27" s="4">
        <f t="shared" si="1"/>
        <v>0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43">
        <v>0.45833333333333337</v>
      </c>
      <c r="J28" s="4">
        <v>60</v>
      </c>
      <c r="K28" s="43"/>
      <c r="L28" s="45">
        <v>0.41666666666666669</v>
      </c>
      <c r="M28" s="43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4"/>
      <c r="T28" s="48">
        <v>32</v>
      </c>
      <c r="U28" s="4">
        <v>48</v>
      </c>
      <c r="V28" s="4">
        <f t="shared" si="0"/>
        <v>0</v>
      </c>
      <c r="W28" s="4">
        <f t="shared" si="1"/>
        <v>0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43">
        <v>0.47916666666666669</v>
      </c>
      <c r="I29" s="43">
        <v>0.5</v>
      </c>
      <c r="J29" s="4">
        <v>30</v>
      </c>
      <c r="K29" s="43"/>
      <c r="L29" s="43">
        <v>0.47916666666666669</v>
      </c>
      <c r="M29" s="43">
        <v>0.5</v>
      </c>
      <c r="N29" s="4">
        <v>30</v>
      </c>
      <c r="O29" s="4" t="s">
        <v>156</v>
      </c>
      <c r="P29" s="4" t="s">
        <v>269</v>
      </c>
      <c r="Q29" s="4"/>
      <c r="R29" s="4"/>
      <c r="S29" s="4"/>
      <c r="T29" s="48">
        <v>32</v>
      </c>
      <c r="U29" s="4">
        <v>48</v>
      </c>
      <c r="V29" s="4">
        <f t="shared" si="0"/>
        <v>0</v>
      </c>
      <c r="W29" s="4">
        <f t="shared" si="1"/>
        <v>0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45">
        <v>0.60416666666666663</v>
      </c>
      <c r="I30" s="43">
        <v>0.625</v>
      </c>
      <c r="J30" s="4">
        <v>30</v>
      </c>
      <c r="K30" s="43"/>
      <c r="L30" s="45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4"/>
      <c r="T30" s="48">
        <v>32</v>
      </c>
      <c r="U30" s="4">
        <v>48</v>
      </c>
      <c r="V30" s="4">
        <f t="shared" si="0"/>
        <v>0</v>
      </c>
      <c r="W30" s="4">
        <f t="shared" si="1"/>
        <v>0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43">
        <v>0.70833333333333337</v>
      </c>
      <c r="J31" s="4">
        <v>90</v>
      </c>
      <c r="K31" s="43"/>
      <c r="L31" s="45">
        <v>0.64583333333333337</v>
      </c>
      <c r="M31" s="43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4"/>
      <c r="T31" s="48">
        <v>32</v>
      </c>
      <c r="U31" s="4">
        <v>48</v>
      </c>
      <c r="V31" s="4">
        <f t="shared" si="0"/>
        <v>0</v>
      </c>
      <c r="W31" s="4">
        <f t="shared" si="1"/>
        <v>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45">
        <v>0.64583333333333337</v>
      </c>
      <c r="I32" s="43">
        <v>0.6875</v>
      </c>
      <c r="J32" s="4">
        <v>60</v>
      </c>
      <c r="K32" s="43"/>
      <c r="L32" s="45">
        <v>0.64583333333333337</v>
      </c>
      <c r="M32" s="43">
        <v>0.6875</v>
      </c>
      <c r="N32" s="4">
        <v>60</v>
      </c>
      <c r="O32" s="6" t="s">
        <v>120</v>
      </c>
      <c r="P32" s="4" t="s">
        <v>187</v>
      </c>
      <c r="Q32" s="4"/>
      <c r="R32" s="4"/>
      <c r="S32" s="4"/>
      <c r="T32" s="48">
        <v>32</v>
      </c>
      <c r="U32" s="4">
        <v>48</v>
      </c>
      <c r="V32" s="4">
        <f t="shared" si="0"/>
        <v>0</v>
      </c>
      <c r="W32" s="4">
        <f t="shared" si="1"/>
        <v>0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45">
        <v>0.375</v>
      </c>
      <c r="I33" s="43">
        <v>0.38541666666666669</v>
      </c>
      <c r="J33" s="4">
        <v>15</v>
      </c>
      <c r="K33" s="43"/>
      <c r="L33" s="45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4"/>
      <c r="T33" s="48">
        <v>32</v>
      </c>
      <c r="U33" s="4">
        <v>48</v>
      </c>
      <c r="V33" s="4">
        <f t="shared" si="0"/>
        <v>0</v>
      </c>
      <c r="W33" s="4">
        <f t="shared" si="1"/>
        <v>0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4"/>
      <c r="T34" s="48">
        <v>32</v>
      </c>
      <c r="U34" s="4">
        <v>48</v>
      </c>
      <c r="V34" s="4">
        <f t="shared" si="0"/>
        <v>0</v>
      </c>
      <c r="W34" s="4">
        <f t="shared" si="1"/>
        <v>0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43">
        <v>0.43750000000000006</v>
      </c>
      <c r="J35" s="4">
        <v>40</v>
      </c>
      <c r="K35" s="43"/>
      <c r="L35" s="45">
        <v>0.40972222222222227</v>
      </c>
      <c r="M35" s="43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4"/>
      <c r="T35" s="48">
        <v>32</v>
      </c>
      <c r="U35" s="4">
        <v>48</v>
      </c>
      <c r="V35" s="4">
        <f t="shared" si="0"/>
        <v>0</v>
      </c>
      <c r="W35" s="4">
        <f t="shared" si="1"/>
        <v>0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45">
        <v>0.64583333333333337</v>
      </c>
      <c r="I36" s="43">
        <v>0.66666666666666674</v>
      </c>
      <c r="J36" s="4">
        <v>30</v>
      </c>
      <c r="K36" s="43"/>
      <c r="L36" s="45">
        <v>0.64583333333333337</v>
      </c>
      <c r="M36" s="43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4"/>
      <c r="T36" s="48">
        <v>32</v>
      </c>
      <c r="U36" s="4">
        <v>48</v>
      </c>
      <c r="V36" s="4">
        <f t="shared" si="0"/>
        <v>0</v>
      </c>
      <c r="W36" s="4">
        <f t="shared" si="1"/>
        <v>0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45">
        <v>0.64236111111111105</v>
      </c>
      <c r="I37" s="43">
        <v>0.66666666666666663</v>
      </c>
      <c r="J37" s="4">
        <v>35</v>
      </c>
      <c r="K37" s="43"/>
      <c r="L37" s="45">
        <v>0.64236111111111105</v>
      </c>
      <c r="M37" s="43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4"/>
      <c r="T37" s="48">
        <v>32</v>
      </c>
      <c r="U37" s="4">
        <v>48</v>
      </c>
      <c r="V37" s="4">
        <f t="shared" si="0"/>
        <v>0</v>
      </c>
      <c r="W37" s="4">
        <f t="shared" si="1"/>
        <v>0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45">
        <v>0.66666666666666663</v>
      </c>
      <c r="I38" s="43">
        <v>0.6875</v>
      </c>
      <c r="J38" s="4">
        <v>30</v>
      </c>
      <c r="K38" s="43"/>
      <c r="L38" s="45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4"/>
      <c r="T38" s="48">
        <v>32</v>
      </c>
      <c r="U38" s="4">
        <v>48</v>
      </c>
      <c r="V38" s="4">
        <f t="shared" si="0"/>
        <v>0</v>
      </c>
      <c r="W38" s="4">
        <f t="shared" si="1"/>
        <v>0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43">
        <v>0.70833333333333337</v>
      </c>
      <c r="J39" s="4">
        <v>30</v>
      </c>
      <c r="K39" s="43"/>
      <c r="L39" s="45">
        <v>0.6875</v>
      </c>
      <c r="M39" s="43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4"/>
      <c r="T39" s="48">
        <v>32</v>
      </c>
      <c r="U39" s="4">
        <v>48</v>
      </c>
      <c r="V39" s="4">
        <f t="shared" si="0"/>
        <v>0</v>
      </c>
      <c r="W39" s="4">
        <f t="shared" si="1"/>
        <v>0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45">
        <v>0.54166666666666663</v>
      </c>
      <c r="I40" s="43">
        <v>0.5625</v>
      </c>
      <c r="J40" s="4">
        <v>30</v>
      </c>
      <c r="K40" s="43"/>
      <c r="L40" s="45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4"/>
      <c r="T40" s="48">
        <v>32</v>
      </c>
      <c r="U40" s="4">
        <v>48</v>
      </c>
      <c r="V40" s="4">
        <f t="shared" si="0"/>
        <v>0</v>
      </c>
      <c r="W40" s="4">
        <f t="shared" si="1"/>
        <v>0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43">
        <v>0.60416666666666663</v>
      </c>
      <c r="J41" s="4">
        <v>15</v>
      </c>
      <c r="K41" s="43"/>
      <c r="L41" s="45">
        <v>0.59375</v>
      </c>
      <c r="M41" s="43">
        <v>0.60416666666666663</v>
      </c>
      <c r="N41" s="4">
        <v>15</v>
      </c>
      <c r="O41" s="6" t="s">
        <v>26</v>
      </c>
      <c r="P41" s="4" t="s">
        <v>372</v>
      </c>
      <c r="Q41" s="4"/>
      <c r="R41" s="4"/>
      <c r="S41" s="4"/>
      <c r="T41" s="48">
        <v>32</v>
      </c>
      <c r="U41" s="4">
        <v>48</v>
      </c>
      <c r="V41" s="4">
        <f t="shared" si="0"/>
        <v>0</v>
      </c>
      <c r="W41" s="4">
        <f t="shared" si="1"/>
        <v>0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43">
        <v>0.60416666666666663</v>
      </c>
      <c r="I42" s="43">
        <v>0.625</v>
      </c>
      <c r="J42" s="4">
        <v>30</v>
      </c>
      <c r="K42" s="43"/>
      <c r="L42" s="43">
        <v>0.60416666666666663</v>
      </c>
      <c r="M42" s="43">
        <v>0.625</v>
      </c>
      <c r="N42" s="4">
        <v>30</v>
      </c>
      <c r="O42" s="4" t="s">
        <v>291</v>
      </c>
      <c r="P42" s="4" t="s">
        <v>681</v>
      </c>
      <c r="Q42" s="4"/>
      <c r="R42" s="4"/>
      <c r="S42" s="4"/>
      <c r="T42" s="48">
        <v>32</v>
      </c>
      <c r="U42" s="4">
        <v>48</v>
      </c>
      <c r="V42" s="4">
        <f t="shared" si="0"/>
        <v>0</v>
      </c>
      <c r="W42" s="4">
        <f t="shared" si="1"/>
        <v>0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43">
        <v>0.60069444444444442</v>
      </c>
      <c r="I43" s="43">
        <v>0.64236111111111105</v>
      </c>
      <c r="J43" s="4">
        <v>60</v>
      </c>
      <c r="K43" s="43"/>
      <c r="L43" s="43">
        <v>0.60069444444444442</v>
      </c>
      <c r="M43" s="43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4"/>
      <c r="T43" s="48">
        <v>32</v>
      </c>
      <c r="U43" s="4">
        <v>48</v>
      </c>
      <c r="V43" s="4">
        <f t="shared" si="0"/>
        <v>0</v>
      </c>
      <c r="W43" s="4">
        <f t="shared" si="1"/>
        <v>0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45">
        <v>0.64583333333333337</v>
      </c>
      <c r="I44" s="43">
        <v>0.6875</v>
      </c>
      <c r="J44" s="4">
        <v>60</v>
      </c>
      <c r="K44" s="43"/>
      <c r="L44" s="45">
        <v>0.64583333333333337</v>
      </c>
      <c r="M44" s="43">
        <v>0.6875</v>
      </c>
      <c r="N44" s="4">
        <v>60</v>
      </c>
      <c r="O44" s="6" t="s">
        <v>120</v>
      </c>
      <c r="P44" s="4" t="s">
        <v>187</v>
      </c>
      <c r="Q44" s="4"/>
      <c r="R44" s="4"/>
      <c r="S44" s="4"/>
      <c r="T44" s="48">
        <v>32</v>
      </c>
      <c r="U44" s="4">
        <v>48</v>
      </c>
      <c r="V44" s="4">
        <f t="shared" si="0"/>
        <v>0</v>
      </c>
      <c r="W44" s="4">
        <f t="shared" si="1"/>
        <v>0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45">
        <v>0.41666666666666669</v>
      </c>
      <c r="I45" s="43">
        <v>0.4375</v>
      </c>
      <c r="J45" s="4">
        <v>30</v>
      </c>
      <c r="K45" s="43"/>
      <c r="L45" s="45">
        <v>0.41666666666666669</v>
      </c>
      <c r="M45" s="43">
        <v>0.4375</v>
      </c>
      <c r="N45" s="4">
        <v>30</v>
      </c>
      <c r="O45" s="6" t="s">
        <v>146</v>
      </c>
      <c r="P45" s="4"/>
      <c r="Q45" s="4"/>
      <c r="R45" s="4"/>
      <c r="S45" s="4"/>
      <c r="T45" s="48">
        <v>27</v>
      </c>
      <c r="U45" s="4">
        <v>48</v>
      </c>
      <c r="V45" s="4">
        <f t="shared" si="0"/>
        <v>0</v>
      </c>
      <c r="W45" s="4">
        <f t="shared" si="1"/>
        <v>0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43">
        <v>0.3125</v>
      </c>
      <c r="I46" s="43">
        <v>0.32291666666666669</v>
      </c>
      <c r="J46" s="4">
        <v>15</v>
      </c>
      <c r="K46" s="43"/>
      <c r="L46" s="43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4"/>
      <c r="T46" s="48">
        <v>27</v>
      </c>
      <c r="U46" s="4">
        <v>48</v>
      </c>
      <c r="V46" s="4">
        <f t="shared" si="0"/>
        <v>0</v>
      </c>
      <c r="W46" s="4">
        <f t="shared" si="1"/>
        <v>0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4"/>
      <c r="T47" s="48">
        <v>27</v>
      </c>
      <c r="U47" s="4">
        <v>48</v>
      </c>
      <c r="V47" s="4">
        <f t="shared" si="0"/>
        <v>0</v>
      </c>
      <c r="W47" s="4">
        <f t="shared" si="1"/>
        <v>0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43">
        <v>0.38541666666666669</v>
      </c>
      <c r="J48" s="4">
        <v>15</v>
      </c>
      <c r="K48" s="43"/>
      <c r="L48" s="43">
        <v>0.375</v>
      </c>
      <c r="M48" s="43">
        <v>0.38541666666666669</v>
      </c>
      <c r="N48" s="4">
        <v>15</v>
      </c>
      <c r="O48" s="4" t="s">
        <v>120</v>
      </c>
      <c r="P48" s="4" t="s">
        <v>121</v>
      </c>
      <c r="Q48" s="4"/>
      <c r="R48" s="4"/>
      <c r="S48" s="4"/>
      <c r="T48" s="48">
        <v>27</v>
      </c>
      <c r="U48" s="4">
        <v>48</v>
      </c>
      <c r="V48" s="4">
        <f t="shared" si="0"/>
        <v>0</v>
      </c>
      <c r="W48" s="4">
        <f t="shared" si="1"/>
        <v>0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45">
        <v>0.33333333333333331</v>
      </c>
      <c r="I49" s="43">
        <v>0.41666666666666663</v>
      </c>
      <c r="J49" s="4">
        <v>120</v>
      </c>
      <c r="K49" s="43"/>
      <c r="L49" s="45">
        <v>0.33333333333333331</v>
      </c>
      <c r="M49" s="43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4"/>
      <c r="T49" s="48">
        <v>27</v>
      </c>
      <c r="U49" s="4">
        <v>48</v>
      </c>
      <c r="V49" s="4">
        <f t="shared" si="0"/>
        <v>0</v>
      </c>
      <c r="W49" s="4">
        <f t="shared" si="1"/>
        <v>0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45">
        <v>0.48958333333333331</v>
      </c>
      <c r="I50" s="43">
        <v>0.57291666666666663</v>
      </c>
      <c r="J50" s="4">
        <v>120</v>
      </c>
      <c r="K50" s="43"/>
      <c r="L50" s="45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4"/>
      <c r="T50" s="48">
        <v>30</v>
      </c>
      <c r="U50" s="4">
        <v>48</v>
      </c>
      <c r="V50" s="4">
        <f t="shared" si="0"/>
        <v>0</v>
      </c>
      <c r="W50" s="4">
        <f t="shared" si="1"/>
        <v>0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43">
        <v>0.66666666666666663</v>
      </c>
      <c r="J51" s="4">
        <v>150</v>
      </c>
      <c r="K51" s="43"/>
      <c r="L51" s="45">
        <v>0.5625</v>
      </c>
      <c r="M51" s="43">
        <v>0.66666666666666663</v>
      </c>
      <c r="N51" s="4">
        <v>150</v>
      </c>
      <c r="O51" s="6" t="s">
        <v>115</v>
      </c>
      <c r="P51" s="4" t="s">
        <v>116</v>
      </c>
      <c r="Q51" s="4"/>
      <c r="R51" s="4"/>
      <c r="S51" s="4"/>
      <c r="T51" s="48">
        <v>30</v>
      </c>
      <c r="U51" s="4">
        <v>48</v>
      </c>
      <c r="V51" s="4">
        <f t="shared" si="0"/>
        <v>0</v>
      </c>
      <c r="W51" s="4">
        <f t="shared" si="1"/>
        <v>0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45">
        <v>0.58333333333333337</v>
      </c>
      <c r="I52" s="43">
        <v>0.60416666666666674</v>
      </c>
      <c r="J52" s="4">
        <v>30</v>
      </c>
      <c r="K52" s="43"/>
      <c r="L52" s="45">
        <v>0.58333333333333337</v>
      </c>
      <c r="M52" s="43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4"/>
      <c r="T52" s="48">
        <v>30</v>
      </c>
      <c r="U52" s="4">
        <v>48</v>
      </c>
      <c r="V52" s="4">
        <f t="shared" si="0"/>
        <v>0</v>
      </c>
      <c r="W52" s="4">
        <f t="shared" si="1"/>
        <v>0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45">
        <v>0.58333333333333337</v>
      </c>
      <c r="I53" s="43">
        <v>0.60416666666666663</v>
      </c>
      <c r="J53" s="4">
        <v>30</v>
      </c>
      <c r="K53" s="43"/>
      <c r="L53" s="45">
        <v>0.58333333333333337</v>
      </c>
      <c r="M53" s="43">
        <v>0.60416666666666663</v>
      </c>
      <c r="N53" s="4">
        <v>30</v>
      </c>
      <c r="O53" s="6" t="s">
        <v>378</v>
      </c>
      <c r="P53" s="4"/>
      <c r="Q53" s="4"/>
      <c r="R53" s="4"/>
      <c r="S53" s="4"/>
      <c r="T53" s="48">
        <v>30</v>
      </c>
      <c r="U53" s="4">
        <v>48</v>
      </c>
      <c r="V53" s="4">
        <f t="shared" si="0"/>
        <v>0</v>
      </c>
      <c r="W53" s="4">
        <f t="shared" si="1"/>
        <v>0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45">
        <v>0.45833333333333331</v>
      </c>
      <c r="I54" s="43">
        <v>0.47916666666666663</v>
      </c>
      <c r="J54" s="4">
        <v>30</v>
      </c>
      <c r="K54" s="43"/>
      <c r="L54" s="45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4"/>
      <c r="T54" s="48">
        <v>30</v>
      </c>
      <c r="U54" s="4">
        <v>48</v>
      </c>
      <c r="V54" s="4">
        <f t="shared" si="0"/>
        <v>0</v>
      </c>
      <c r="W54" s="4">
        <f t="shared" si="1"/>
        <v>0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43">
        <v>0.58333333333333337</v>
      </c>
      <c r="J55" s="4">
        <v>90</v>
      </c>
      <c r="K55" s="43"/>
      <c r="L55" s="45">
        <v>0.52083333333333337</v>
      </c>
      <c r="M55" s="43">
        <v>0.58333333333333337</v>
      </c>
      <c r="N55" s="4">
        <v>90</v>
      </c>
      <c r="O55" s="6" t="s">
        <v>26</v>
      </c>
      <c r="P55" s="4" t="s">
        <v>192</v>
      </c>
      <c r="Q55" s="4"/>
      <c r="R55" s="4"/>
      <c r="S55" s="4"/>
      <c r="T55" s="48">
        <v>30</v>
      </c>
      <c r="U55" s="4">
        <v>48</v>
      </c>
      <c r="V55" s="4">
        <f t="shared" si="0"/>
        <v>0</v>
      </c>
      <c r="W55" s="4">
        <f t="shared" si="1"/>
        <v>0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45">
        <v>0.35416666666666669</v>
      </c>
      <c r="I56" s="43">
        <v>0.375</v>
      </c>
      <c r="J56" s="4">
        <v>30</v>
      </c>
      <c r="K56" s="43"/>
      <c r="L56" s="45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4"/>
      <c r="T56" s="48">
        <v>30</v>
      </c>
      <c r="U56" s="4">
        <v>48</v>
      </c>
      <c r="V56" s="4">
        <f t="shared" si="0"/>
        <v>0</v>
      </c>
      <c r="W56" s="4">
        <f t="shared" si="1"/>
        <v>0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43">
        <v>0.47916666666666669</v>
      </c>
      <c r="J57" s="4">
        <v>90</v>
      </c>
      <c r="K57" s="43"/>
      <c r="L57" s="45">
        <v>0.41666666666666669</v>
      </c>
      <c r="M57" s="43">
        <v>0.47916666666666669</v>
      </c>
      <c r="N57" s="4">
        <v>90</v>
      </c>
      <c r="O57" s="6" t="s">
        <v>26</v>
      </c>
      <c r="P57" s="4" t="s">
        <v>192</v>
      </c>
      <c r="Q57" s="4"/>
      <c r="R57" s="4"/>
      <c r="S57" s="4"/>
      <c r="T57" s="48">
        <v>30</v>
      </c>
      <c r="U57" s="4">
        <v>48</v>
      </c>
      <c r="V57" s="4">
        <f t="shared" si="0"/>
        <v>0</v>
      </c>
      <c r="W57" s="4">
        <f t="shared" si="1"/>
        <v>0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43">
        <v>0.35416666666666669</v>
      </c>
      <c r="I58" s="43">
        <v>0.45833333333333331</v>
      </c>
      <c r="J58" s="4">
        <v>150</v>
      </c>
      <c r="K58" s="43"/>
      <c r="L58" s="43">
        <v>0.35416666666666669</v>
      </c>
      <c r="M58" s="43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4"/>
      <c r="T58" s="48">
        <v>30</v>
      </c>
      <c r="U58" s="4">
        <v>48</v>
      </c>
      <c r="V58" s="4">
        <f t="shared" si="0"/>
        <v>0</v>
      </c>
      <c r="W58" s="4">
        <f t="shared" si="1"/>
        <v>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45">
        <v>0.63194444444444442</v>
      </c>
      <c r="I59" s="43">
        <v>0.73611111111111116</v>
      </c>
      <c r="J59" s="4">
        <v>150</v>
      </c>
      <c r="K59" s="43"/>
      <c r="L59" s="45">
        <v>0.63194444444444442</v>
      </c>
      <c r="M59" s="43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4"/>
      <c r="T59" s="48">
        <v>30</v>
      </c>
      <c r="U59" s="4">
        <v>48</v>
      </c>
      <c r="V59" s="4">
        <f t="shared" si="0"/>
        <v>0</v>
      </c>
      <c r="W59" s="4">
        <f t="shared" si="1"/>
        <v>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45">
        <v>0.32291666666666669</v>
      </c>
      <c r="I60" s="43">
        <v>0.375</v>
      </c>
      <c r="J60" s="4">
        <v>75</v>
      </c>
      <c r="K60" s="43"/>
      <c r="L60" s="45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4"/>
      <c r="T60" s="48">
        <v>30</v>
      </c>
      <c r="U60" s="4">
        <v>48</v>
      </c>
      <c r="V60" s="4">
        <f t="shared" si="0"/>
        <v>0</v>
      </c>
      <c r="W60" s="4">
        <f t="shared" si="1"/>
        <v>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4"/>
      <c r="R61" s="4"/>
      <c r="S61" s="4"/>
      <c r="T61" s="48">
        <v>30</v>
      </c>
      <c r="U61" s="4">
        <v>48</v>
      </c>
      <c r="V61" s="4">
        <f t="shared" si="0"/>
        <v>0</v>
      </c>
      <c r="W61" s="4">
        <f t="shared" si="1"/>
        <v>0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4"/>
      <c r="T62" s="48">
        <v>30</v>
      </c>
      <c r="U62" s="4">
        <v>48</v>
      </c>
      <c r="V62" s="4">
        <f t="shared" si="0"/>
        <v>0</v>
      </c>
      <c r="W62" s="4">
        <f t="shared" si="1"/>
        <v>0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43">
        <v>0.47222222222222221</v>
      </c>
      <c r="J63" s="4">
        <v>20</v>
      </c>
      <c r="K63" s="43"/>
      <c r="L63" s="43">
        <v>0.45833333333333331</v>
      </c>
      <c r="M63" s="43">
        <v>0.47222222222222221</v>
      </c>
      <c r="N63" s="4">
        <v>20</v>
      </c>
      <c r="O63" s="4" t="s">
        <v>181</v>
      </c>
      <c r="P63" s="4" t="s">
        <v>239</v>
      </c>
      <c r="Q63" s="4"/>
      <c r="R63" s="4"/>
      <c r="S63" s="4"/>
      <c r="T63" s="48">
        <v>30</v>
      </c>
      <c r="U63" s="4">
        <v>48</v>
      </c>
      <c r="V63" s="4">
        <f t="shared" si="0"/>
        <v>0</v>
      </c>
      <c r="W63" s="4">
        <f t="shared" si="1"/>
        <v>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45">
        <v>0.45833333333333331</v>
      </c>
      <c r="I64" s="43">
        <v>0.54166666666666663</v>
      </c>
      <c r="J64" s="4">
        <v>120</v>
      </c>
      <c r="K64" s="43"/>
      <c r="L64" s="45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4"/>
      <c r="T64" s="48">
        <v>30</v>
      </c>
      <c r="U64" s="4">
        <v>48</v>
      </c>
      <c r="V64" s="4">
        <f t="shared" si="0"/>
        <v>0</v>
      </c>
      <c r="W64" s="4">
        <f t="shared" si="1"/>
        <v>0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43">
        <v>0.54166666666666663</v>
      </c>
      <c r="J65" s="4">
        <v>60</v>
      </c>
      <c r="K65" s="43"/>
      <c r="L65" s="43">
        <v>0.5</v>
      </c>
      <c r="M65" s="43">
        <v>0.54166666666666663</v>
      </c>
      <c r="N65" s="4">
        <v>60</v>
      </c>
      <c r="O65" s="4" t="s">
        <v>26</v>
      </c>
      <c r="P65" s="4" t="s">
        <v>596</v>
      </c>
      <c r="Q65" s="4"/>
      <c r="R65" s="4"/>
      <c r="S65" s="4"/>
      <c r="T65" s="48">
        <v>30</v>
      </c>
      <c r="U65" s="4">
        <v>48</v>
      </c>
      <c r="V65" s="4">
        <f t="shared" si="0"/>
        <v>0</v>
      </c>
      <c r="W65" s="4">
        <f t="shared" si="1"/>
        <v>0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45">
        <v>0.52083333333333337</v>
      </c>
      <c r="I66" s="43">
        <v>0.59027777777777779</v>
      </c>
      <c r="J66" s="4">
        <v>100</v>
      </c>
      <c r="K66" s="43"/>
      <c r="L66" s="45">
        <v>0.52083333333333337</v>
      </c>
      <c r="M66" s="43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4"/>
      <c r="T66" s="48">
        <v>40</v>
      </c>
      <c r="U66" s="4">
        <v>48</v>
      </c>
      <c r="V66" s="4">
        <f t="shared" ref="V66:V129" si="2">T66*S66</f>
        <v>0</v>
      </c>
      <c r="W66" s="4">
        <f t="shared" ref="W66:W129" si="3">U66*S66</f>
        <v>0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45">
        <v>0.4375</v>
      </c>
      <c r="I67" s="43">
        <v>0.46527777777777779</v>
      </c>
      <c r="J67" s="4">
        <v>40</v>
      </c>
      <c r="K67" s="43"/>
      <c r="L67" s="45">
        <v>0.4375</v>
      </c>
      <c r="M67" s="43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4"/>
      <c r="T67" s="48">
        <v>40</v>
      </c>
      <c r="U67" s="4">
        <v>48</v>
      </c>
      <c r="V67" s="4">
        <f t="shared" si="2"/>
        <v>0</v>
      </c>
      <c r="W67" s="4">
        <f t="shared" si="3"/>
        <v>0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45">
        <v>0.625</v>
      </c>
      <c r="I68" s="43">
        <v>0.64583333333333337</v>
      </c>
      <c r="J68" s="4">
        <v>30</v>
      </c>
      <c r="K68" s="43"/>
      <c r="L68" s="45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4"/>
      <c r="T68" s="48">
        <v>40</v>
      </c>
      <c r="U68" s="4">
        <v>48</v>
      </c>
      <c r="V68" s="4">
        <f t="shared" si="2"/>
        <v>0</v>
      </c>
      <c r="W68" s="4">
        <f t="shared" si="3"/>
        <v>0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43">
        <v>0.75</v>
      </c>
      <c r="J69" s="4">
        <v>90</v>
      </c>
      <c r="K69" s="43"/>
      <c r="L69" s="45">
        <v>0.6875</v>
      </c>
      <c r="M69" s="43">
        <v>0.75</v>
      </c>
      <c r="N69" s="4">
        <v>90</v>
      </c>
      <c r="O69" s="6" t="s">
        <v>323</v>
      </c>
      <c r="P69" s="4" t="s">
        <v>772</v>
      </c>
      <c r="Q69" s="4"/>
      <c r="R69" s="4"/>
      <c r="S69" s="4"/>
      <c r="T69" s="48">
        <v>40</v>
      </c>
      <c r="U69" s="4">
        <v>48</v>
      </c>
      <c r="V69" s="4">
        <f t="shared" si="2"/>
        <v>0</v>
      </c>
      <c r="W69" s="4">
        <f t="shared" si="3"/>
        <v>0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45">
        <v>0.50694444444444442</v>
      </c>
      <c r="I70" s="43">
        <v>0.61111111111111105</v>
      </c>
      <c r="J70" s="4">
        <v>150</v>
      </c>
      <c r="K70" s="43"/>
      <c r="L70" s="45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4"/>
      <c r="T70" s="48">
        <v>25</v>
      </c>
      <c r="U70" s="4">
        <v>48</v>
      </c>
      <c r="V70" s="4">
        <f t="shared" si="2"/>
        <v>0</v>
      </c>
      <c r="W70" s="4">
        <f t="shared" si="3"/>
        <v>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4"/>
      <c r="T71" s="48">
        <v>25</v>
      </c>
      <c r="U71" s="4">
        <v>48</v>
      </c>
      <c r="V71" s="4">
        <f t="shared" si="2"/>
        <v>0</v>
      </c>
      <c r="W71" s="4">
        <f t="shared" si="3"/>
        <v>0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43">
        <v>0.64583333333333337</v>
      </c>
      <c r="J72" s="4">
        <v>40</v>
      </c>
      <c r="K72" s="43"/>
      <c r="L72" s="45">
        <v>0.61805555555555558</v>
      </c>
      <c r="M72" s="43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4"/>
      <c r="T72" s="48">
        <v>25</v>
      </c>
      <c r="U72" s="4">
        <v>48</v>
      </c>
      <c r="V72" s="4">
        <f t="shared" si="2"/>
        <v>0</v>
      </c>
      <c r="W72" s="4">
        <f t="shared" si="3"/>
        <v>0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45">
        <v>0.41666666666666669</v>
      </c>
      <c r="I73" s="43">
        <v>0.45833333333333337</v>
      </c>
      <c r="J73" s="4">
        <v>60</v>
      </c>
      <c r="K73" s="43"/>
      <c r="L73" s="45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4"/>
      <c r="T73" s="48">
        <v>25</v>
      </c>
      <c r="U73" s="4">
        <v>48</v>
      </c>
      <c r="V73" s="4">
        <f t="shared" si="2"/>
        <v>0</v>
      </c>
      <c r="W73" s="4">
        <f t="shared" si="3"/>
        <v>0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43">
        <v>0.5</v>
      </c>
      <c r="J74" s="4">
        <v>60</v>
      </c>
      <c r="K74" s="43"/>
      <c r="L74" s="45">
        <v>0.45833333333333331</v>
      </c>
      <c r="M74" s="43">
        <v>0.5</v>
      </c>
      <c r="N74" s="4">
        <v>60</v>
      </c>
      <c r="O74" s="6" t="s">
        <v>120</v>
      </c>
      <c r="P74" s="4" t="s">
        <v>187</v>
      </c>
      <c r="Q74" s="4"/>
      <c r="R74" s="4"/>
      <c r="S74" s="4"/>
      <c r="T74" s="48">
        <v>25</v>
      </c>
      <c r="U74" s="4">
        <v>48</v>
      </c>
      <c r="V74" s="4">
        <f t="shared" si="2"/>
        <v>0</v>
      </c>
      <c r="W74" s="4">
        <f t="shared" si="3"/>
        <v>0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43">
        <v>0.41666666666666669</v>
      </c>
      <c r="I75" s="43">
        <v>0.45833333333333331</v>
      </c>
      <c r="J75" s="4">
        <v>60</v>
      </c>
      <c r="K75" s="43"/>
      <c r="L75" s="43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4"/>
      <c r="T75" s="48">
        <v>25</v>
      </c>
      <c r="U75" s="4">
        <v>48</v>
      </c>
      <c r="V75" s="4">
        <f t="shared" si="2"/>
        <v>0</v>
      </c>
      <c r="W75" s="4">
        <f t="shared" si="3"/>
        <v>0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43">
        <v>0.47916666666666669</v>
      </c>
      <c r="J76" s="4">
        <v>30</v>
      </c>
      <c r="K76" s="43"/>
      <c r="L76" s="43">
        <v>0.45833333333333331</v>
      </c>
      <c r="M76" s="43">
        <v>0.47916666666666669</v>
      </c>
      <c r="N76" s="4">
        <v>30</v>
      </c>
      <c r="O76" s="6" t="s">
        <v>146</v>
      </c>
      <c r="P76" s="4"/>
      <c r="Q76" s="4"/>
      <c r="R76" s="4"/>
      <c r="S76" s="4"/>
      <c r="T76" s="48">
        <v>25</v>
      </c>
      <c r="U76" s="4">
        <v>48</v>
      </c>
      <c r="V76" s="4">
        <f t="shared" si="2"/>
        <v>0</v>
      </c>
      <c r="W76" s="4">
        <f t="shared" si="3"/>
        <v>0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43">
        <v>0.5</v>
      </c>
      <c r="I77" s="43">
        <v>0.54166666666666663</v>
      </c>
      <c r="J77" s="4">
        <v>60</v>
      </c>
      <c r="K77" s="43"/>
      <c r="L77" s="43">
        <v>0.5</v>
      </c>
      <c r="M77" s="43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4"/>
      <c r="T77" s="48">
        <v>25</v>
      </c>
      <c r="U77" s="4">
        <v>48</v>
      </c>
      <c r="V77" s="4">
        <f t="shared" si="2"/>
        <v>0</v>
      </c>
      <c r="W77" s="4">
        <f t="shared" si="3"/>
        <v>0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45">
        <v>0.5625</v>
      </c>
      <c r="I78" s="43">
        <v>0.57291666666666663</v>
      </c>
      <c r="J78" s="4">
        <v>15</v>
      </c>
      <c r="K78" s="43"/>
      <c r="L78" s="45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4"/>
      <c r="T78" s="48">
        <v>25</v>
      </c>
      <c r="U78" s="4">
        <v>48</v>
      </c>
      <c r="V78" s="4">
        <f t="shared" si="2"/>
        <v>0</v>
      </c>
      <c r="W78" s="4">
        <f t="shared" si="3"/>
        <v>0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4"/>
      <c r="T79" s="48">
        <v>25</v>
      </c>
      <c r="U79" s="4">
        <v>48</v>
      </c>
      <c r="V79" s="4">
        <f t="shared" si="2"/>
        <v>0</v>
      </c>
      <c r="W79" s="4">
        <f t="shared" si="3"/>
        <v>0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43">
        <v>0.625</v>
      </c>
      <c r="J80" s="4">
        <v>40</v>
      </c>
      <c r="K80" s="43"/>
      <c r="L80" s="43">
        <v>0.59722222222222221</v>
      </c>
      <c r="M80" s="43">
        <v>0.625</v>
      </c>
      <c r="N80" s="4">
        <v>40</v>
      </c>
      <c r="O80" s="6" t="s">
        <v>74</v>
      </c>
      <c r="P80" s="4" t="s">
        <v>91</v>
      </c>
      <c r="Q80" s="4"/>
      <c r="R80" s="4"/>
      <c r="S80" s="4"/>
      <c r="T80" s="48">
        <v>25</v>
      </c>
      <c r="U80" s="4">
        <v>48</v>
      </c>
      <c r="V80" s="4">
        <f t="shared" si="2"/>
        <v>0</v>
      </c>
      <c r="W80" s="4">
        <f t="shared" si="3"/>
        <v>0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45">
        <v>0.5625</v>
      </c>
      <c r="I81" s="43">
        <v>0.57291666666666663</v>
      </c>
      <c r="J81" s="4">
        <v>15</v>
      </c>
      <c r="K81" s="43"/>
      <c r="L81" s="45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4"/>
      <c r="T81" s="48">
        <v>25</v>
      </c>
      <c r="U81" s="4">
        <v>48</v>
      </c>
      <c r="V81" s="4">
        <f t="shared" si="2"/>
        <v>0</v>
      </c>
      <c r="W81" s="4">
        <f t="shared" si="3"/>
        <v>0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43">
        <v>0.625</v>
      </c>
      <c r="J82" s="4">
        <v>60</v>
      </c>
      <c r="K82" s="43"/>
      <c r="L82" s="45">
        <v>0.58333333333333337</v>
      </c>
      <c r="M82" s="43">
        <v>0.625</v>
      </c>
      <c r="N82" s="4">
        <v>60</v>
      </c>
      <c r="O82" s="6" t="s">
        <v>156</v>
      </c>
      <c r="P82" s="4" t="s">
        <v>147</v>
      </c>
      <c r="Q82" s="4"/>
      <c r="R82" s="4"/>
      <c r="S82" s="4"/>
      <c r="T82" s="48">
        <v>25</v>
      </c>
      <c r="U82" s="4">
        <v>48</v>
      </c>
      <c r="V82" s="4">
        <f t="shared" si="2"/>
        <v>0</v>
      </c>
      <c r="W82" s="4">
        <f t="shared" si="3"/>
        <v>0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45">
        <v>0.5625</v>
      </c>
      <c r="I83" s="43">
        <v>0.58333333333333337</v>
      </c>
      <c r="J83" s="4">
        <v>30</v>
      </c>
      <c r="K83" s="43"/>
      <c r="L83" s="45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4"/>
      <c r="T83" s="48">
        <v>25</v>
      </c>
      <c r="U83" s="4">
        <v>48</v>
      </c>
      <c r="V83" s="4">
        <f t="shared" si="2"/>
        <v>0</v>
      </c>
      <c r="W83" s="4">
        <f t="shared" si="3"/>
        <v>0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43">
        <v>0.61458333333333337</v>
      </c>
      <c r="J84" s="4">
        <v>45</v>
      </c>
      <c r="K84" s="43"/>
      <c r="L84" s="45">
        <v>0.58333333333333337</v>
      </c>
      <c r="M84" s="43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4"/>
      <c r="T84" s="48">
        <v>25</v>
      </c>
      <c r="U84" s="4">
        <v>48</v>
      </c>
      <c r="V84" s="4">
        <f t="shared" si="2"/>
        <v>0</v>
      </c>
      <c r="W84" s="4">
        <f t="shared" si="3"/>
        <v>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45">
        <v>0.52777777777777779</v>
      </c>
      <c r="I85" s="43">
        <v>0.63194444444444442</v>
      </c>
      <c r="J85" s="4">
        <v>150</v>
      </c>
      <c r="K85" s="43"/>
      <c r="L85" s="45">
        <v>0.52777777777777779</v>
      </c>
      <c r="M85" s="43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4"/>
      <c r="T85" s="48">
        <v>25</v>
      </c>
      <c r="U85" s="4">
        <v>48</v>
      </c>
      <c r="V85" s="4">
        <f t="shared" si="2"/>
        <v>0</v>
      </c>
      <c r="W85" s="4">
        <f t="shared" si="3"/>
        <v>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43">
        <v>0.41666666666666669</v>
      </c>
      <c r="I86" s="43">
        <v>0.45833333333333337</v>
      </c>
      <c r="J86" s="4">
        <v>60</v>
      </c>
      <c r="K86" s="43"/>
      <c r="L86" s="43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4"/>
      <c r="T86" s="48">
        <v>28</v>
      </c>
      <c r="U86" s="4">
        <v>48</v>
      </c>
      <c r="V86" s="4">
        <f t="shared" si="2"/>
        <v>0</v>
      </c>
      <c r="W86" s="4">
        <f t="shared" si="3"/>
        <v>0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4"/>
      <c r="T87" s="48">
        <v>28</v>
      </c>
      <c r="U87" s="4">
        <v>48</v>
      </c>
      <c r="V87" s="4">
        <f t="shared" si="2"/>
        <v>0</v>
      </c>
      <c r="W87" s="4">
        <f t="shared" si="3"/>
        <v>0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4"/>
      <c r="R88" s="4"/>
      <c r="S88" s="4"/>
      <c r="T88" s="48">
        <v>28</v>
      </c>
      <c r="U88" s="4">
        <v>48</v>
      </c>
      <c r="V88" s="4">
        <f t="shared" si="2"/>
        <v>0</v>
      </c>
      <c r="W88" s="4">
        <f t="shared" si="3"/>
        <v>0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4"/>
      <c r="R89" s="4"/>
      <c r="S89" s="4"/>
      <c r="T89" s="48">
        <v>28</v>
      </c>
      <c r="U89" s="4">
        <v>48</v>
      </c>
      <c r="V89" s="4">
        <f t="shared" si="2"/>
        <v>0</v>
      </c>
      <c r="W89" s="4">
        <f t="shared" si="3"/>
        <v>0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4"/>
      <c r="T90" s="48">
        <v>28</v>
      </c>
      <c r="U90" s="4">
        <v>48</v>
      </c>
      <c r="V90" s="4">
        <f t="shared" si="2"/>
        <v>0</v>
      </c>
      <c r="W90" s="4">
        <f t="shared" si="3"/>
        <v>0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4"/>
      <c r="T91" s="48">
        <v>28</v>
      </c>
      <c r="U91" s="4">
        <v>48</v>
      </c>
      <c r="V91" s="4">
        <f t="shared" si="2"/>
        <v>0</v>
      </c>
      <c r="W91" s="4">
        <f t="shared" si="3"/>
        <v>0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9"/>
      <c r="R92" s="9"/>
      <c r="S92" s="9"/>
      <c r="T92" s="49">
        <v>28</v>
      </c>
      <c r="U92" s="9">
        <v>48</v>
      </c>
      <c r="V92" s="4">
        <f t="shared" si="2"/>
        <v>0</v>
      </c>
      <c r="W92" s="4">
        <f t="shared" si="3"/>
        <v>0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46">
        <v>0.70833333333333337</v>
      </c>
      <c r="J93" s="9">
        <v>60</v>
      </c>
      <c r="K93" s="44"/>
      <c r="L93" s="46">
        <v>0.66666666666666663</v>
      </c>
      <c r="M93" s="4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9"/>
      <c r="T93" s="49">
        <v>28</v>
      </c>
      <c r="U93" s="9">
        <v>48</v>
      </c>
      <c r="V93" s="4">
        <f t="shared" si="2"/>
        <v>0</v>
      </c>
      <c r="W93" s="4">
        <f t="shared" si="3"/>
        <v>0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43">
        <v>0.36458333333333331</v>
      </c>
      <c r="I94" s="43">
        <v>0.375</v>
      </c>
      <c r="J94" s="4">
        <v>15</v>
      </c>
      <c r="K94" s="43"/>
      <c r="L94" s="43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4"/>
      <c r="T94" s="48">
        <v>28</v>
      </c>
      <c r="U94" s="4">
        <v>48</v>
      </c>
      <c r="V94" s="4">
        <f t="shared" si="2"/>
        <v>0</v>
      </c>
      <c r="W94" s="4">
        <f t="shared" si="3"/>
        <v>0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43">
        <v>0.41666666666666669</v>
      </c>
      <c r="J95" s="4">
        <v>60</v>
      </c>
      <c r="K95" s="43"/>
      <c r="L95" s="43">
        <v>0.375</v>
      </c>
      <c r="M95" s="43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4"/>
      <c r="T95" s="48">
        <v>28</v>
      </c>
      <c r="U95" s="4">
        <v>48</v>
      </c>
      <c r="V95" s="4">
        <f t="shared" si="2"/>
        <v>0</v>
      </c>
      <c r="W95" s="4">
        <f t="shared" si="3"/>
        <v>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45">
        <v>0.38541666666666669</v>
      </c>
      <c r="I96" s="43">
        <v>0.41666666666666669</v>
      </c>
      <c r="J96" s="4">
        <v>45</v>
      </c>
      <c r="K96" s="43"/>
      <c r="L96" s="45">
        <v>0.38541666666666669</v>
      </c>
      <c r="M96" s="43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4"/>
      <c r="T96" s="48">
        <v>28</v>
      </c>
      <c r="U96" s="4">
        <v>48</v>
      </c>
      <c r="V96" s="4">
        <f t="shared" si="2"/>
        <v>0</v>
      </c>
      <c r="W96" s="4">
        <f t="shared" si="3"/>
        <v>0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46">
        <v>0.48958333333333331</v>
      </c>
      <c r="I97" s="46">
        <v>0.52083333333333337</v>
      </c>
      <c r="J97" s="9">
        <v>45</v>
      </c>
      <c r="K97" s="44"/>
      <c r="L97" s="46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9"/>
      <c r="T97" s="49">
        <v>28</v>
      </c>
      <c r="U97" s="9">
        <v>48</v>
      </c>
      <c r="V97" s="4">
        <f t="shared" si="2"/>
        <v>0</v>
      </c>
      <c r="W97" s="4">
        <f t="shared" si="3"/>
        <v>0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9"/>
      <c r="R98" s="9"/>
      <c r="S98" s="9"/>
      <c r="T98" s="49">
        <v>28</v>
      </c>
      <c r="U98" s="9">
        <v>48</v>
      </c>
      <c r="V98" s="4">
        <f t="shared" si="2"/>
        <v>0</v>
      </c>
      <c r="W98" s="4">
        <f t="shared" si="3"/>
        <v>0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9"/>
      <c r="T99" s="49">
        <v>28</v>
      </c>
      <c r="U99" s="9">
        <v>48</v>
      </c>
      <c r="V99" s="4">
        <f t="shared" si="2"/>
        <v>0</v>
      </c>
      <c r="W99" s="4">
        <f t="shared" si="3"/>
        <v>0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4"/>
      <c r="T100" s="48">
        <v>28</v>
      </c>
      <c r="U100" s="4">
        <v>48</v>
      </c>
      <c r="V100" s="4">
        <f t="shared" si="2"/>
        <v>0</v>
      </c>
      <c r="W100" s="4">
        <f t="shared" si="3"/>
        <v>0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43">
        <v>0.65625</v>
      </c>
      <c r="J101" s="4">
        <v>45</v>
      </c>
      <c r="K101" s="43"/>
      <c r="L101" s="43">
        <v>0.625</v>
      </c>
      <c r="M101" s="43">
        <v>0.65625</v>
      </c>
      <c r="N101" s="4">
        <v>45</v>
      </c>
      <c r="O101" s="4" t="s">
        <v>331</v>
      </c>
      <c r="P101" s="4" t="s">
        <v>718</v>
      </c>
      <c r="Q101" s="4"/>
      <c r="R101" s="4"/>
      <c r="S101" s="4"/>
      <c r="T101" s="48">
        <v>28</v>
      </c>
      <c r="U101" s="4">
        <v>48</v>
      </c>
      <c r="V101" s="4">
        <f t="shared" si="2"/>
        <v>0</v>
      </c>
      <c r="W101" s="4">
        <f t="shared" si="3"/>
        <v>0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43">
        <v>0.58680555555555558</v>
      </c>
      <c r="I102" s="43">
        <v>0.60763888888888884</v>
      </c>
      <c r="J102" s="4">
        <v>30</v>
      </c>
      <c r="K102" s="43"/>
      <c r="L102" s="43">
        <v>0.58680555555555558</v>
      </c>
      <c r="M102" s="43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4"/>
      <c r="T102" s="48">
        <v>28</v>
      </c>
      <c r="U102" s="4">
        <v>48</v>
      </c>
      <c r="V102" s="4">
        <f t="shared" si="2"/>
        <v>0</v>
      </c>
      <c r="W102" s="4">
        <f t="shared" si="3"/>
        <v>0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43">
        <v>0.35416666666666669</v>
      </c>
      <c r="I103" s="43">
        <v>0.375</v>
      </c>
      <c r="J103" s="4">
        <v>30</v>
      </c>
      <c r="K103" s="43"/>
      <c r="L103" s="43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4"/>
      <c r="T103" s="48">
        <v>28</v>
      </c>
      <c r="U103" s="4">
        <v>48</v>
      </c>
      <c r="V103" s="4">
        <f t="shared" si="2"/>
        <v>0</v>
      </c>
      <c r="W103" s="4">
        <f t="shared" si="3"/>
        <v>0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43">
        <v>0.39583333333333331</v>
      </c>
      <c r="J104" s="4">
        <v>15</v>
      </c>
      <c r="K104" s="43"/>
      <c r="L104" s="43">
        <v>0.38541666666666669</v>
      </c>
      <c r="M104" s="43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4"/>
      <c r="T104" s="48">
        <v>28</v>
      </c>
      <c r="U104" s="4">
        <v>48</v>
      </c>
      <c r="V104" s="4">
        <f t="shared" si="2"/>
        <v>0</v>
      </c>
      <c r="W104" s="4">
        <f t="shared" si="3"/>
        <v>0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43">
        <v>0.54166666666666663</v>
      </c>
      <c r="I105" s="43">
        <v>0.58333333333333337</v>
      </c>
      <c r="J105" s="4">
        <v>60</v>
      </c>
      <c r="K105" s="43"/>
      <c r="L105" s="43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4"/>
      <c r="T105" s="48">
        <v>28</v>
      </c>
      <c r="U105" s="4">
        <v>48</v>
      </c>
      <c r="V105" s="4">
        <f t="shared" si="2"/>
        <v>0</v>
      </c>
      <c r="W105" s="4">
        <f t="shared" si="3"/>
        <v>0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43">
        <v>0.59375</v>
      </c>
      <c r="J106" s="4">
        <v>15</v>
      </c>
      <c r="K106" s="43"/>
      <c r="L106" s="43">
        <v>0.58333333333333337</v>
      </c>
      <c r="M106" s="43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4"/>
      <c r="T106" s="48">
        <v>28</v>
      </c>
      <c r="U106" s="4">
        <v>48</v>
      </c>
      <c r="V106" s="4">
        <f t="shared" si="2"/>
        <v>0</v>
      </c>
      <c r="W106" s="4">
        <f t="shared" si="3"/>
        <v>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45">
        <v>0.66666666666666663</v>
      </c>
      <c r="I107" s="43">
        <v>0.71527777777777779</v>
      </c>
      <c r="J107" s="4">
        <v>70</v>
      </c>
      <c r="K107" s="43"/>
      <c r="L107" s="45">
        <v>0.66666666666666663</v>
      </c>
      <c r="M107" s="43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4"/>
      <c r="T107" s="48">
        <v>30</v>
      </c>
      <c r="U107" s="4">
        <v>48</v>
      </c>
      <c r="V107" s="4">
        <f t="shared" si="2"/>
        <v>0</v>
      </c>
      <c r="W107" s="4">
        <f t="shared" si="3"/>
        <v>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43">
        <v>0.27083333333333331</v>
      </c>
      <c r="I108" s="43">
        <v>0.39583333333333331</v>
      </c>
      <c r="J108" s="4">
        <v>240</v>
      </c>
      <c r="K108" s="43"/>
      <c r="L108" s="43">
        <v>0.27083333333333331</v>
      </c>
      <c r="M108" s="43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4"/>
      <c r="T108" s="48">
        <v>30</v>
      </c>
      <c r="U108" s="4">
        <v>48</v>
      </c>
      <c r="V108" s="4">
        <f t="shared" si="2"/>
        <v>0</v>
      </c>
      <c r="W108" s="4">
        <f t="shared" si="3"/>
        <v>0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43">
        <v>0.52083333333333337</v>
      </c>
      <c r="I109" s="43">
        <v>0.54166666666666663</v>
      </c>
      <c r="J109" s="4">
        <v>30</v>
      </c>
      <c r="K109" s="43"/>
      <c r="L109" s="43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4"/>
      <c r="T109" s="48">
        <v>30</v>
      </c>
      <c r="U109" s="4">
        <v>48</v>
      </c>
      <c r="V109" s="4">
        <f t="shared" si="2"/>
        <v>0</v>
      </c>
      <c r="W109" s="4">
        <f t="shared" si="3"/>
        <v>0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4"/>
      <c r="T110" s="48">
        <v>30</v>
      </c>
      <c r="U110" s="4">
        <v>48</v>
      </c>
      <c r="V110" s="4">
        <f t="shared" si="2"/>
        <v>0</v>
      </c>
      <c r="W110" s="4">
        <f t="shared" si="3"/>
        <v>0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4"/>
      <c r="R111" s="4"/>
      <c r="S111" s="4"/>
      <c r="T111" s="48">
        <v>30</v>
      </c>
      <c r="U111" s="4">
        <v>48</v>
      </c>
      <c r="V111" s="4">
        <f t="shared" si="2"/>
        <v>0</v>
      </c>
      <c r="W111" s="4">
        <f t="shared" si="3"/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43">
        <v>0.60416666666666674</v>
      </c>
      <c r="J112" s="4">
        <v>30</v>
      </c>
      <c r="K112" s="43"/>
      <c r="L112" s="43">
        <v>0.58333333333333337</v>
      </c>
      <c r="M112" s="43">
        <v>0.60416666666666674</v>
      </c>
      <c r="N112" s="4">
        <v>30</v>
      </c>
      <c r="O112" s="4" t="s">
        <v>156</v>
      </c>
      <c r="P112" s="4" t="s">
        <v>269</v>
      </c>
      <c r="Q112" s="4"/>
      <c r="R112" s="4"/>
      <c r="S112" s="4"/>
      <c r="T112" s="48">
        <v>30</v>
      </c>
      <c r="U112" s="4">
        <v>48</v>
      </c>
      <c r="V112" s="4">
        <f t="shared" si="2"/>
        <v>0</v>
      </c>
      <c r="W112" s="4">
        <f t="shared" si="3"/>
        <v>0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43">
        <v>0.625</v>
      </c>
      <c r="I113" s="43">
        <v>0.64583333333333337</v>
      </c>
      <c r="J113" s="4">
        <v>30</v>
      </c>
      <c r="K113" s="43"/>
      <c r="L113" s="43">
        <v>0.625</v>
      </c>
      <c r="M113" s="43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4"/>
      <c r="T113" s="48">
        <v>30</v>
      </c>
      <c r="U113" s="4">
        <v>48</v>
      </c>
      <c r="V113" s="4">
        <f t="shared" si="2"/>
        <v>0</v>
      </c>
      <c r="W113" s="4">
        <f t="shared" si="3"/>
        <v>0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45">
        <v>0.61111111111111105</v>
      </c>
      <c r="I114" s="43">
        <v>0.64583333333333326</v>
      </c>
      <c r="J114" s="4">
        <v>50</v>
      </c>
      <c r="K114" s="43"/>
      <c r="L114" s="45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4"/>
      <c r="T114" s="48">
        <v>33</v>
      </c>
      <c r="U114" s="4">
        <v>48</v>
      </c>
      <c r="V114" s="4">
        <f t="shared" si="2"/>
        <v>0</v>
      </c>
      <c r="W114" s="4">
        <f t="shared" si="3"/>
        <v>0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43">
        <v>0.6875</v>
      </c>
      <c r="J115" s="4">
        <v>60</v>
      </c>
      <c r="K115" s="43"/>
      <c r="L115" s="45">
        <v>0.64583333333333337</v>
      </c>
      <c r="M115" s="43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4"/>
      <c r="T115" s="48">
        <v>33</v>
      </c>
      <c r="U115" s="4">
        <v>48</v>
      </c>
      <c r="V115" s="4">
        <f t="shared" si="2"/>
        <v>0</v>
      </c>
      <c r="W115" s="4">
        <f t="shared" si="3"/>
        <v>0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43">
        <v>0.5625</v>
      </c>
      <c r="I116" s="43">
        <v>0.60416666666666663</v>
      </c>
      <c r="J116" s="4">
        <v>60</v>
      </c>
      <c r="K116" s="43"/>
      <c r="L116" s="43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4"/>
      <c r="T116" s="48">
        <v>33</v>
      </c>
      <c r="U116" s="4">
        <v>48</v>
      </c>
      <c r="V116" s="4">
        <f t="shared" si="2"/>
        <v>0</v>
      </c>
      <c r="W116" s="4">
        <f t="shared" si="3"/>
        <v>0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43">
        <v>0.70833333333333326</v>
      </c>
      <c r="J117" s="4">
        <v>150</v>
      </c>
      <c r="K117" s="43"/>
      <c r="L117" s="43">
        <v>0.60416666666666663</v>
      </c>
      <c r="M117" s="43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4"/>
      <c r="T117" s="48">
        <v>33</v>
      </c>
      <c r="U117" s="4">
        <v>48</v>
      </c>
      <c r="V117" s="4">
        <f t="shared" si="2"/>
        <v>0</v>
      </c>
      <c r="W117" s="4">
        <f t="shared" si="3"/>
        <v>0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45">
        <v>0.41666666666666669</v>
      </c>
      <c r="I118" s="43">
        <v>0.44444444444444448</v>
      </c>
      <c r="J118" s="4">
        <v>40</v>
      </c>
      <c r="K118" s="43"/>
      <c r="L118" s="45">
        <v>0.41666666666666669</v>
      </c>
      <c r="M118" s="43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4"/>
      <c r="T118" s="48">
        <v>33</v>
      </c>
      <c r="U118" s="4">
        <v>48</v>
      </c>
      <c r="V118" s="4">
        <f t="shared" si="2"/>
        <v>0</v>
      </c>
      <c r="W118" s="4">
        <f t="shared" si="3"/>
        <v>0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45">
        <v>0.43055555555555558</v>
      </c>
      <c r="I119" s="43">
        <v>0.45833333333333337</v>
      </c>
      <c r="J119" s="4">
        <v>40</v>
      </c>
      <c r="K119" s="43"/>
      <c r="L119" s="45">
        <v>0.43055555555555558</v>
      </c>
      <c r="M119" s="43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4"/>
      <c r="T119" s="48">
        <v>33</v>
      </c>
      <c r="U119" s="4">
        <v>48</v>
      </c>
      <c r="V119" s="4">
        <f t="shared" si="2"/>
        <v>0</v>
      </c>
      <c r="W119" s="4">
        <f t="shared" si="3"/>
        <v>0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45">
        <v>0.66666666666666663</v>
      </c>
      <c r="I120" s="43">
        <v>0.6875</v>
      </c>
      <c r="J120" s="4">
        <v>30</v>
      </c>
      <c r="K120" s="43"/>
      <c r="L120" s="45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4"/>
      <c r="T120" s="48">
        <v>32</v>
      </c>
      <c r="U120" s="4">
        <v>48</v>
      </c>
      <c r="V120" s="4">
        <f t="shared" si="2"/>
        <v>0</v>
      </c>
      <c r="W120" s="4">
        <f t="shared" si="3"/>
        <v>0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43">
        <v>0.70833333333333337</v>
      </c>
      <c r="J121" s="4">
        <v>30</v>
      </c>
      <c r="K121" s="43"/>
      <c r="L121" s="45">
        <v>0.6875</v>
      </c>
      <c r="M121" s="43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4"/>
      <c r="T121" s="48">
        <v>32</v>
      </c>
      <c r="U121" s="4">
        <v>48</v>
      </c>
      <c r="V121" s="4">
        <f t="shared" si="2"/>
        <v>0</v>
      </c>
      <c r="W121" s="4">
        <f t="shared" si="3"/>
        <v>0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45">
        <v>0.61458333333333337</v>
      </c>
      <c r="I122" s="43">
        <v>0.65625</v>
      </c>
      <c r="J122" s="4">
        <v>60</v>
      </c>
      <c r="K122" s="43"/>
      <c r="L122" s="45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4"/>
      <c r="T122" s="48">
        <v>40</v>
      </c>
      <c r="U122" s="4">
        <v>48</v>
      </c>
      <c r="V122" s="4">
        <f t="shared" si="2"/>
        <v>0</v>
      </c>
      <c r="W122" s="4">
        <f t="shared" si="3"/>
        <v>0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43">
        <v>0.67708333333333337</v>
      </c>
      <c r="J123" s="4">
        <v>30</v>
      </c>
      <c r="K123" s="43"/>
      <c r="L123" s="45">
        <v>0.65625</v>
      </c>
      <c r="M123" s="43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4"/>
      <c r="T123" s="48">
        <v>40</v>
      </c>
      <c r="U123" s="4">
        <v>48</v>
      </c>
      <c r="V123" s="4">
        <f t="shared" si="2"/>
        <v>0</v>
      </c>
      <c r="W123" s="4">
        <f t="shared" si="3"/>
        <v>0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45">
        <v>0.41666666666666669</v>
      </c>
      <c r="I124" s="43">
        <v>0.47916666666666669</v>
      </c>
      <c r="J124" s="4">
        <v>90</v>
      </c>
      <c r="K124" s="43"/>
      <c r="L124" s="45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4"/>
      <c r="T124" s="48">
        <v>37</v>
      </c>
      <c r="U124" s="4">
        <v>48</v>
      </c>
      <c r="V124" s="4">
        <f t="shared" si="2"/>
        <v>0</v>
      </c>
      <c r="W124" s="4">
        <f t="shared" si="3"/>
        <v>0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4"/>
      <c r="R125" s="4"/>
      <c r="S125" s="4"/>
      <c r="T125" s="48">
        <v>37</v>
      </c>
      <c r="U125" s="4">
        <v>48</v>
      </c>
      <c r="V125" s="4">
        <f t="shared" si="2"/>
        <v>0</v>
      </c>
      <c r="W125" s="4">
        <f t="shared" si="3"/>
        <v>0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43">
        <v>0.5625</v>
      </c>
      <c r="J126" s="4">
        <v>15</v>
      </c>
      <c r="K126" s="43"/>
      <c r="L126" s="45">
        <v>0.55208333333333337</v>
      </c>
      <c r="M126" s="43">
        <v>0.5625</v>
      </c>
      <c r="N126" s="4">
        <v>15</v>
      </c>
      <c r="O126" s="6" t="s">
        <v>26</v>
      </c>
      <c r="P126" s="4" t="s">
        <v>169</v>
      </c>
      <c r="Q126" s="4"/>
      <c r="R126" s="4"/>
      <c r="S126" s="4"/>
      <c r="T126" s="48">
        <v>37</v>
      </c>
      <c r="U126" s="4">
        <v>48</v>
      </c>
      <c r="V126" s="4">
        <f t="shared" si="2"/>
        <v>0</v>
      </c>
      <c r="W126" s="4">
        <f t="shared" si="3"/>
        <v>0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45">
        <v>0.58333333333333337</v>
      </c>
      <c r="I127" s="43">
        <v>0.625</v>
      </c>
      <c r="J127" s="4">
        <v>60</v>
      </c>
      <c r="K127" s="43"/>
      <c r="L127" s="45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4"/>
      <c r="T127" s="48">
        <v>37</v>
      </c>
      <c r="U127" s="4">
        <v>48</v>
      </c>
      <c r="V127" s="4">
        <f t="shared" si="2"/>
        <v>0</v>
      </c>
      <c r="W127" s="4">
        <f t="shared" si="3"/>
        <v>0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43">
        <v>0.65625</v>
      </c>
      <c r="J128" s="4">
        <v>45</v>
      </c>
      <c r="K128" s="43"/>
      <c r="L128" s="45">
        <v>0.625</v>
      </c>
      <c r="M128" s="43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4"/>
      <c r="T128" s="48">
        <v>37</v>
      </c>
      <c r="U128" s="4">
        <v>48</v>
      </c>
      <c r="V128" s="4">
        <f t="shared" si="2"/>
        <v>0</v>
      </c>
      <c r="W128" s="4">
        <f t="shared" si="3"/>
        <v>0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45">
        <v>0.625</v>
      </c>
      <c r="I129" s="43">
        <v>0.64583333333333337</v>
      </c>
      <c r="J129" s="4">
        <v>30</v>
      </c>
      <c r="K129" s="43"/>
      <c r="L129" s="45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4"/>
      <c r="T129" s="48">
        <v>37</v>
      </c>
      <c r="U129" s="4">
        <v>48</v>
      </c>
      <c r="V129" s="4">
        <f t="shared" si="2"/>
        <v>0</v>
      </c>
      <c r="W129" s="4">
        <f t="shared" si="3"/>
        <v>0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43">
        <v>0.66666666666666663</v>
      </c>
      <c r="J130" s="4">
        <v>30</v>
      </c>
      <c r="K130" s="43"/>
      <c r="L130" s="43">
        <v>0.64583333333333337</v>
      </c>
      <c r="M130" s="43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4"/>
      <c r="T130" s="48">
        <v>37</v>
      </c>
      <c r="U130" s="4">
        <v>48</v>
      </c>
      <c r="V130" s="4">
        <f t="shared" ref="V130:V193" si="4">T130*S130</f>
        <v>0</v>
      </c>
      <c r="W130" s="4">
        <f t="shared" ref="W130:W193" si="5">U130*S130</f>
        <v>0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45">
        <v>0.54166666666666663</v>
      </c>
      <c r="I131" s="43">
        <v>0.5625</v>
      </c>
      <c r="J131" s="4">
        <v>30</v>
      </c>
      <c r="K131" s="43"/>
      <c r="L131" s="45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4"/>
      <c r="T131" s="48">
        <v>35</v>
      </c>
      <c r="U131" s="4">
        <v>48</v>
      </c>
      <c r="V131" s="4">
        <f t="shared" si="4"/>
        <v>0</v>
      </c>
      <c r="W131" s="4">
        <f t="shared" si="5"/>
        <v>0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4"/>
      <c r="T132" s="48">
        <v>35</v>
      </c>
      <c r="U132" s="4">
        <v>48</v>
      </c>
      <c r="V132" s="4">
        <f t="shared" si="4"/>
        <v>0</v>
      </c>
      <c r="W132" s="4">
        <f t="shared" si="5"/>
        <v>0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4"/>
      <c r="R133" s="4"/>
      <c r="S133" s="4"/>
      <c r="T133" s="48">
        <v>35</v>
      </c>
      <c r="U133" s="4">
        <v>48</v>
      </c>
      <c r="V133" s="4">
        <f t="shared" si="4"/>
        <v>0</v>
      </c>
      <c r="W133" s="4">
        <f t="shared" si="5"/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4"/>
      <c r="T134" s="48">
        <v>35</v>
      </c>
      <c r="U134" s="4">
        <v>48</v>
      </c>
      <c r="V134" s="4">
        <f t="shared" si="4"/>
        <v>0</v>
      </c>
      <c r="W134" s="4">
        <f t="shared" si="5"/>
        <v>0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4"/>
      <c r="R135" s="4"/>
      <c r="S135" s="4"/>
      <c r="T135" s="48">
        <v>35</v>
      </c>
      <c r="U135" s="4">
        <v>48</v>
      </c>
      <c r="V135" s="4">
        <f t="shared" si="4"/>
        <v>0</v>
      </c>
      <c r="W135" s="4">
        <f t="shared" si="5"/>
        <v>0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4"/>
      <c r="R136" s="4"/>
      <c r="S136" s="4"/>
      <c r="T136" s="48">
        <v>35</v>
      </c>
      <c r="U136" s="4">
        <v>48</v>
      </c>
      <c r="V136" s="4">
        <f t="shared" si="4"/>
        <v>0</v>
      </c>
      <c r="W136" s="4">
        <f t="shared" si="5"/>
        <v>0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43">
        <v>0.83333333333333337</v>
      </c>
      <c r="J137" s="4">
        <v>120</v>
      </c>
      <c r="K137" s="43"/>
      <c r="L137" s="45">
        <v>0.75</v>
      </c>
      <c r="M137" s="43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4"/>
      <c r="T137" s="48">
        <v>35</v>
      </c>
      <c r="U137" s="4">
        <v>48</v>
      </c>
      <c r="V137" s="4">
        <f t="shared" si="4"/>
        <v>0</v>
      </c>
      <c r="W137" s="4">
        <f t="shared" si="5"/>
        <v>0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45">
        <v>0.4236111111111111</v>
      </c>
      <c r="I138" s="43">
        <v>0.46527777777777779</v>
      </c>
      <c r="J138" s="4">
        <v>60</v>
      </c>
      <c r="K138" s="43"/>
      <c r="L138" s="45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4"/>
      <c r="T138" s="48">
        <v>27</v>
      </c>
      <c r="U138" s="4">
        <v>48</v>
      </c>
      <c r="V138" s="4">
        <f t="shared" si="4"/>
        <v>0</v>
      </c>
      <c r="W138" s="4">
        <f t="shared" si="5"/>
        <v>0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43">
        <v>0.54166666666666663</v>
      </c>
      <c r="J139" s="4">
        <v>60</v>
      </c>
      <c r="K139" s="43"/>
      <c r="L139" s="45">
        <v>0.5</v>
      </c>
      <c r="M139" s="43">
        <v>0.54166666666666663</v>
      </c>
      <c r="N139" s="4">
        <v>60</v>
      </c>
      <c r="O139" s="14" t="s">
        <v>93</v>
      </c>
      <c r="P139" s="4" t="s">
        <v>303</v>
      </c>
      <c r="Q139" s="4"/>
      <c r="R139" s="4"/>
      <c r="S139" s="4"/>
      <c r="T139" s="48">
        <v>27</v>
      </c>
      <c r="U139" s="4">
        <v>48</v>
      </c>
      <c r="V139" s="4">
        <f t="shared" si="4"/>
        <v>0</v>
      </c>
      <c r="W139" s="4">
        <f t="shared" si="5"/>
        <v>0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43">
        <v>0.42708333333333331</v>
      </c>
      <c r="I140" s="43">
        <v>0.4375</v>
      </c>
      <c r="J140" s="4">
        <v>15</v>
      </c>
      <c r="K140" s="43"/>
      <c r="L140" s="43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4"/>
      <c r="T140" s="48">
        <v>27</v>
      </c>
      <c r="U140" s="4">
        <v>48</v>
      </c>
      <c r="V140" s="4">
        <f t="shared" si="4"/>
        <v>0</v>
      </c>
      <c r="W140" s="4">
        <f t="shared" si="5"/>
        <v>0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4"/>
      <c r="T141" s="48">
        <v>27</v>
      </c>
      <c r="U141" s="4">
        <v>48</v>
      </c>
      <c r="V141" s="4">
        <f t="shared" si="4"/>
        <v>0</v>
      </c>
      <c r="W141" s="4">
        <f t="shared" si="5"/>
        <v>0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43">
        <v>0.5</v>
      </c>
      <c r="J142" s="4">
        <v>60</v>
      </c>
      <c r="K142" s="43"/>
      <c r="L142" s="43">
        <v>0.45833333333333331</v>
      </c>
      <c r="M142" s="43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4"/>
      <c r="T142" s="48">
        <v>27</v>
      </c>
      <c r="U142" s="4">
        <v>48</v>
      </c>
      <c r="V142" s="4">
        <f t="shared" si="4"/>
        <v>0</v>
      </c>
      <c r="W142" s="4">
        <f t="shared" si="5"/>
        <v>0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45">
        <v>0.47916666666666669</v>
      </c>
      <c r="I143" s="43">
        <v>0.5</v>
      </c>
      <c r="J143" s="4">
        <v>30</v>
      </c>
      <c r="K143" s="43"/>
      <c r="L143" s="45">
        <v>0.47916666666666669</v>
      </c>
      <c r="M143" s="43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4"/>
      <c r="T143" s="48">
        <v>25</v>
      </c>
      <c r="U143" s="4">
        <v>48</v>
      </c>
      <c r="V143" s="4">
        <f t="shared" si="4"/>
        <v>0</v>
      </c>
      <c r="W143" s="4">
        <f t="shared" si="5"/>
        <v>0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45">
        <v>0.4201388888888889</v>
      </c>
      <c r="I144" s="43">
        <v>0.4375</v>
      </c>
      <c r="J144" s="4">
        <v>25</v>
      </c>
      <c r="K144" s="43"/>
      <c r="L144" s="45">
        <v>0.4201388888888889</v>
      </c>
      <c r="M144" s="43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4"/>
      <c r="T144" s="4"/>
      <c r="U144" s="4">
        <v>48</v>
      </c>
      <c r="V144" s="4">
        <f t="shared" si="4"/>
        <v>0</v>
      </c>
      <c r="W144" s="4">
        <f t="shared" si="5"/>
        <v>0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45">
        <v>0.39583333333333331</v>
      </c>
      <c r="I145" s="43">
        <v>0.41666666666666663</v>
      </c>
      <c r="J145" s="4">
        <v>30</v>
      </c>
      <c r="K145" s="43"/>
      <c r="L145" s="45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4"/>
      <c r="T145" s="48">
        <v>25</v>
      </c>
      <c r="U145" s="4">
        <v>48</v>
      </c>
      <c r="V145" s="4">
        <f t="shared" si="4"/>
        <v>0</v>
      </c>
      <c r="W145" s="4">
        <f t="shared" si="5"/>
        <v>0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4"/>
      <c r="T146" s="48">
        <v>25</v>
      </c>
      <c r="U146" s="4">
        <v>48</v>
      </c>
      <c r="V146" s="4">
        <f t="shared" si="4"/>
        <v>0</v>
      </c>
      <c r="W146" s="4">
        <f t="shared" si="5"/>
        <v>0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43">
        <v>0.58333333333333337</v>
      </c>
      <c r="J147" s="4">
        <v>120</v>
      </c>
      <c r="K147" s="43"/>
      <c r="L147" s="45">
        <v>0.5</v>
      </c>
      <c r="M147" s="43">
        <v>0.58333333333333337</v>
      </c>
      <c r="N147" s="4">
        <v>120</v>
      </c>
      <c r="O147" s="6" t="s">
        <v>26</v>
      </c>
      <c r="P147" s="4" t="s">
        <v>175</v>
      </c>
      <c r="Q147" s="4"/>
      <c r="R147" s="4"/>
      <c r="S147" s="4"/>
      <c r="T147" s="48">
        <v>25</v>
      </c>
      <c r="U147" s="4">
        <v>48</v>
      </c>
      <c r="V147" s="4">
        <f t="shared" si="4"/>
        <v>0</v>
      </c>
      <c r="W147" s="4">
        <f t="shared" si="5"/>
        <v>0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45">
        <v>0.54166666666666663</v>
      </c>
      <c r="I148" s="44">
        <v>0.55208333333333337</v>
      </c>
      <c r="J148" s="9">
        <v>15</v>
      </c>
      <c r="K148" s="44"/>
      <c r="L148" s="45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9"/>
      <c r="T148" s="49">
        <v>27</v>
      </c>
      <c r="U148" s="9">
        <v>48</v>
      </c>
      <c r="V148" s="4">
        <f t="shared" si="4"/>
        <v>0</v>
      </c>
      <c r="W148" s="4">
        <f t="shared" si="5"/>
        <v>0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44">
        <v>0.60416666666666663</v>
      </c>
      <c r="J149" s="9">
        <v>60</v>
      </c>
      <c r="K149" s="44"/>
      <c r="L149" s="45">
        <v>0.5625</v>
      </c>
      <c r="M149" s="44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9"/>
      <c r="T149" s="49">
        <v>27</v>
      </c>
      <c r="U149" s="9">
        <v>48</v>
      </c>
      <c r="V149" s="4">
        <f t="shared" si="4"/>
        <v>0</v>
      </c>
      <c r="W149" s="4">
        <f t="shared" si="5"/>
        <v>0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45">
        <v>0.625</v>
      </c>
      <c r="I150" s="43">
        <v>0.66666666666666663</v>
      </c>
      <c r="J150" s="4">
        <v>60</v>
      </c>
      <c r="K150" s="43"/>
      <c r="L150" s="45">
        <v>0.625</v>
      </c>
      <c r="M150" s="43">
        <v>0.66666666666666663</v>
      </c>
      <c r="N150" s="4">
        <v>60</v>
      </c>
      <c r="O150" s="6" t="s">
        <v>693</v>
      </c>
      <c r="P150" s="4"/>
      <c r="Q150" s="4"/>
      <c r="R150" s="4"/>
      <c r="S150" s="4"/>
      <c r="T150" s="48">
        <v>27</v>
      </c>
      <c r="U150" s="4">
        <v>48</v>
      </c>
      <c r="V150" s="4">
        <f t="shared" si="4"/>
        <v>0</v>
      </c>
      <c r="W150" s="4">
        <f t="shared" si="5"/>
        <v>0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43">
        <v>0.58333333333333337</v>
      </c>
      <c r="I151" s="43">
        <v>0.60416666666666674</v>
      </c>
      <c r="J151" s="4">
        <v>30</v>
      </c>
      <c r="K151" s="43"/>
      <c r="L151" s="43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4"/>
      <c r="T151" s="48">
        <v>35</v>
      </c>
      <c r="U151" s="4">
        <v>48</v>
      </c>
      <c r="V151" s="4">
        <f t="shared" si="4"/>
        <v>0</v>
      </c>
      <c r="W151" s="4">
        <f t="shared" si="5"/>
        <v>0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4"/>
      <c r="T152" s="48">
        <v>35</v>
      </c>
      <c r="U152" s="4">
        <v>48</v>
      </c>
      <c r="V152" s="4">
        <f t="shared" si="4"/>
        <v>0</v>
      </c>
      <c r="W152" s="4">
        <f t="shared" si="5"/>
        <v>0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43">
        <v>0.64583333333333337</v>
      </c>
      <c r="J153" s="4">
        <v>30</v>
      </c>
      <c r="K153" s="43"/>
      <c r="L153" s="43">
        <v>0.625</v>
      </c>
      <c r="M153" s="43">
        <v>0.64583333333333337</v>
      </c>
      <c r="N153" s="4">
        <v>30</v>
      </c>
      <c r="O153" s="4" t="s">
        <v>53</v>
      </c>
      <c r="P153" s="4" t="s">
        <v>694</v>
      </c>
      <c r="Q153" s="4"/>
      <c r="R153" s="4"/>
      <c r="S153" s="4"/>
      <c r="T153" s="48">
        <v>35</v>
      </c>
      <c r="U153" s="4">
        <v>48</v>
      </c>
      <c r="V153" s="4">
        <f t="shared" si="4"/>
        <v>0</v>
      </c>
      <c r="W153" s="4">
        <f t="shared" si="5"/>
        <v>0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45">
        <v>0.45833333333333331</v>
      </c>
      <c r="I154" s="43">
        <v>0.47916666666666663</v>
      </c>
      <c r="J154" s="4">
        <v>30</v>
      </c>
      <c r="K154" s="43"/>
      <c r="L154" s="45">
        <v>0.45833333333333331</v>
      </c>
      <c r="M154" s="43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4"/>
      <c r="T154" s="4"/>
      <c r="U154" s="4">
        <v>48</v>
      </c>
      <c r="V154" s="4">
        <f t="shared" si="4"/>
        <v>0</v>
      </c>
      <c r="W154" s="4">
        <f t="shared" si="5"/>
        <v>0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45">
        <v>0.375</v>
      </c>
      <c r="I155" s="43">
        <v>0.38541666666666669</v>
      </c>
      <c r="J155" s="4">
        <v>15</v>
      </c>
      <c r="K155" s="43"/>
      <c r="L155" s="45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4"/>
      <c r="T155" s="4"/>
      <c r="U155" s="4">
        <v>48</v>
      </c>
      <c r="V155" s="4">
        <f t="shared" si="4"/>
        <v>0</v>
      </c>
      <c r="W155" s="4">
        <f t="shared" si="5"/>
        <v>0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4"/>
      <c r="T156" s="4"/>
      <c r="U156" s="4">
        <v>48</v>
      </c>
      <c r="V156" s="4">
        <f t="shared" si="4"/>
        <v>0</v>
      </c>
      <c r="W156" s="4">
        <f t="shared" si="5"/>
        <v>0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43">
        <v>0.45833333333333331</v>
      </c>
      <c r="J157" s="4">
        <v>90</v>
      </c>
      <c r="K157" s="43"/>
      <c r="L157" s="45">
        <v>0.39583333333333331</v>
      </c>
      <c r="M157" s="43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4"/>
      <c r="T157" s="4"/>
      <c r="U157" s="4">
        <v>48</v>
      </c>
      <c r="V157" s="4">
        <f t="shared" si="4"/>
        <v>0</v>
      </c>
      <c r="W157" s="4">
        <f t="shared" si="5"/>
        <v>0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46">
        <v>0.45833333333333331</v>
      </c>
      <c r="I158" s="46">
        <v>0.6875</v>
      </c>
      <c r="J158" s="21">
        <v>330</v>
      </c>
      <c r="K158" s="46"/>
      <c r="L158" s="46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21"/>
      <c r="T158" s="51">
        <v>30</v>
      </c>
      <c r="U158" s="21">
        <v>48</v>
      </c>
      <c r="V158" s="4">
        <f t="shared" si="4"/>
        <v>0</v>
      </c>
      <c r="W158" s="4">
        <f t="shared" si="5"/>
        <v>0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43">
        <v>0.69791666666666663</v>
      </c>
      <c r="J159" s="4">
        <v>15</v>
      </c>
      <c r="K159" s="43"/>
      <c r="L159" s="45">
        <v>0.6875</v>
      </c>
      <c r="M159" s="43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4"/>
      <c r="T159" s="48">
        <v>30</v>
      </c>
      <c r="U159" s="4">
        <v>48</v>
      </c>
      <c r="V159" s="4">
        <f t="shared" si="4"/>
        <v>0</v>
      </c>
      <c r="W159" s="4">
        <f t="shared" si="5"/>
        <v>0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43">
        <v>0.39583333333333331</v>
      </c>
      <c r="I160" s="43">
        <v>0.40625</v>
      </c>
      <c r="J160" s="4">
        <v>15</v>
      </c>
      <c r="K160" s="43"/>
      <c r="L160" s="43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4"/>
      <c r="T160" s="48">
        <v>25</v>
      </c>
      <c r="U160" s="4">
        <v>48</v>
      </c>
      <c r="V160" s="4">
        <f t="shared" si="4"/>
        <v>0</v>
      </c>
      <c r="W160" s="4">
        <f t="shared" si="5"/>
        <v>0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4"/>
      <c r="R161" s="4"/>
      <c r="S161" s="4"/>
      <c r="T161" s="48">
        <v>25</v>
      </c>
      <c r="U161" s="4">
        <v>48</v>
      </c>
      <c r="V161" s="4">
        <f t="shared" si="4"/>
        <v>0</v>
      </c>
      <c r="W161" s="4">
        <f t="shared" si="5"/>
        <v>0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4"/>
      <c r="R162" s="4"/>
      <c r="S162" s="4"/>
      <c r="T162" s="48">
        <v>25</v>
      </c>
      <c r="U162" s="4">
        <v>48</v>
      </c>
      <c r="V162" s="4">
        <f t="shared" si="4"/>
        <v>0</v>
      </c>
      <c r="W162" s="4">
        <f t="shared" si="5"/>
        <v>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4"/>
      <c r="R163" s="4"/>
      <c r="S163" s="4"/>
      <c r="T163" s="48">
        <v>25</v>
      </c>
      <c r="U163" s="4">
        <v>48</v>
      </c>
      <c r="V163" s="4">
        <f t="shared" si="4"/>
        <v>0</v>
      </c>
      <c r="W163" s="4">
        <f t="shared" si="5"/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43">
        <v>0.60416666666666674</v>
      </c>
      <c r="J164" s="4">
        <v>30</v>
      </c>
      <c r="K164" s="43"/>
      <c r="L164" s="43">
        <v>0.58333333333333337</v>
      </c>
      <c r="M164" s="43">
        <v>0.60416666666666674</v>
      </c>
      <c r="N164" s="4">
        <v>30</v>
      </c>
      <c r="O164" s="4" t="s">
        <v>110</v>
      </c>
      <c r="P164" s="4" t="s">
        <v>447</v>
      </c>
      <c r="Q164" s="4"/>
      <c r="R164" s="4"/>
      <c r="S164" s="4"/>
      <c r="T164" s="48">
        <v>25</v>
      </c>
      <c r="U164" s="4">
        <v>48</v>
      </c>
      <c r="V164" s="4">
        <f t="shared" si="4"/>
        <v>0</v>
      </c>
      <c r="W164" s="4">
        <f t="shared" si="5"/>
        <v>0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43">
        <v>0.35416666666666669</v>
      </c>
      <c r="I165" s="43">
        <v>0.45833333333333331</v>
      </c>
      <c r="J165" s="4">
        <v>150</v>
      </c>
      <c r="K165" s="43"/>
      <c r="L165" s="43">
        <v>0.35416666666666669</v>
      </c>
      <c r="M165" s="43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4"/>
      <c r="T165" s="48">
        <v>25</v>
      </c>
      <c r="U165" s="4">
        <v>48</v>
      </c>
      <c r="V165" s="4">
        <f t="shared" si="4"/>
        <v>0</v>
      </c>
      <c r="W165" s="4">
        <f t="shared" si="5"/>
        <v>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45">
        <v>0.52777777777777779</v>
      </c>
      <c r="I166" s="43">
        <v>0.63194444444444442</v>
      </c>
      <c r="J166" s="4">
        <v>150</v>
      </c>
      <c r="K166" s="43"/>
      <c r="L166" s="45">
        <v>0.52777777777777779</v>
      </c>
      <c r="M166" s="43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4"/>
      <c r="T166" s="48">
        <v>25</v>
      </c>
      <c r="U166" s="4">
        <v>48</v>
      </c>
      <c r="V166" s="4">
        <f t="shared" si="4"/>
        <v>0</v>
      </c>
      <c r="W166" s="4">
        <f t="shared" si="5"/>
        <v>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43">
        <v>0.625</v>
      </c>
      <c r="I167" s="43">
        <v>0.63541666666666663</v>
      </c>
      <c r="J167" s="4">
        <v>15</v>
      </c>
      <c r="K167" s="43"/>
      <c r="L167" s="43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4"/>
      <c r="T167" s="48">
        <v>27</v>
      </c>
      <c r="U167" s="4">
        <v>48</v>
      </c>
      <c r="V167" s="4">
        <f t="shared" si="4"/>
        <v>0</v>
      </c>
      <c r="W167" s="4">
        <f t="shared" si="5"/>
        <v>0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43">
        <v>0.77083333333333326</v>
      </c>
      <c r="J168" s="4">
        <v>150</v>
      </c>
      <c r="K168" s="43"/>
      <c r="L168" s="43">
        <v>0.66666666666666663</v>
      </c>
      <c r="M168" s="43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4"/>
      <c r="T168" s="48">
        <v>27</v>
      </c>
      <c r="U168" s="4">
        <v>48</v>
      </c>
      <c r="V168" s="4">
        <f t="shared" si="4"/>
        <v>0</v>
      </c>
      <c r="W168" s="4">
        <f t="shared" si="5"/>
        <v>0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45">
        <v>0.41666666666666669</v>
      </c>
      <c r="I169" s="43">
        <v>0.45833333333333337</v>
      </c>
      <c r="J169" s="4">
        <v>60</v>
      </c>
      <c r="K169" s="43"/>
      <c r="L169" s="45">
        <v>0.41666666666666669</v>
      </c>
      <c r="M169" s="43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4"/>
      <c r="T169" s="48">
        <v>27</v>
      </c>
      <c r="U169" s="4">
        <v>48</v>
      </c>
      <c r="V169" s="4">
        <f t="shared" si="4"/>
        <v>0</v>
      </c>
      <c r="W169" s="4">
        <f t="shared" si="5"/>
        <v>0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43">
        <v>0.64583333333333337</v>
      </c>
      <c r="I170" s="43">
        <v>0.66666666666666674</v>
      </c>
      <c r="J170" s="4">
        <v>30</v>
      </c>
      <c r="K170" s="43"/>
      <c r="L170" s="43">
        <v>0.64583333333333337</v>
      </c>
      <c r="M170" s="43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4"/>
      <c r="T170" s="48">
        <v>27</v>
      </c>
      <c r="U170" s="4">
        <v>48</v>
      </c>
      <c r="V170" s="4">
        <f t="shared" si="4"/>
        <v>0</v>
      </c>
      <c r="W170" s="4">
        <f t="shared" si="5"/>
        <v>0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43">
        <v>0.5</v>
      </c>
      <c r="I171" s="43">
        <v>0.6875</v>
      </c>
      <c r="J171" s="4">
        <v>270</v>
      </c>
      <c r="K171" s="43"/>
      <c r="L171" s="43">
        <v>0.5</v>
      </c>
      <c r="M171" s="43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4"/>
      <c r="T171" s="48">
        <v>27</v>
      </c>
      <c r="U171" s="4">
        <v>48</v>
      </c>
      <c r="V171" s="4">
        <f t="shared" si="4"/>
        <v>0</v>
      </c>
      <c r="W171" s="4">
        <f t="shared" si="5"/>
        <v>0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43">
        <v>0.375</v>
      </c>
      <c r="I172" s="43">
        <v>0.39583333333333331</v>
      </c>
      <c r="J172" s="4">
        <v>30</v>
      </c>
      <c r="K172" s="43"/>
      <c r="L172" s="43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4"/>
      <c r="T172" s="48">
        <v>27</v>
      </c>
      <c r="U172" s="4">
        <v>48</v>
      </c>
      <c r="V172" s="4">
        <f t="shared" si="4"/>
        <v>0</v>
      </c>
      <c r="W172" s="4">
        <f t="shared" si="5"/>
        <v>0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4"/>
      <c r="T173" s="48">
        <v>27</v>
      </c>
      <c r="U173" s="4">
        <v>48</v>
      </c>
      <c r="V173" s="4">
        <f t="shared" si="4"/>
        <v>0</v>
      </c>
      <c r="W173" s="4">
        <f t="shared" si="5"/>
        <v>0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43">
        <v>0.5</v>
      </c>
      <c r="J174" s="4">
        <v>90</v>
      </c>
      <c r="K174" s="43"/>
      <c r="L174" s="43">
        <v>0.4375</v>
      </c>
      <c r="M174" s="43">
        <v>0.5</v>
      </c>
      <c r="N174" s="4">
        <v>90</v>
      </c>
      <c r="O174" s="4" t="s">
        <v>26</v>
      </c>
      <c r="P174" s="4" t="s">
        <v>192</v>
      </c>
      <c r="Q174" s="4"/>
      <c r="R174" s="4"/>
      <c r="S174" s="4"/>
      <c r="T174" s="48">
        <v>27</v>
      </c>
      <c r="U174" s="4">
        <v>48</v>
      </c>
      <c r="V174" s="4">
        <f t="shared" si="4"/>
        <v>0</v>
      </c>
      <c r="W174" s="4">
        <f t="shared" si="5"/>
        <v>0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45">
        <v>0.55208333333333337</v>
      </c>
      <c r="I175" s="43">
        <v>0.5625</v>
      </c>
      <c r="J175" s="4">
        <v>15</v>
      </c>
      <c r="K175" s="43"/>
      <c r="L175" s="45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4"/>
      <c r="T175" s="48">
        <v>27</v>
      </c>
      <c r="U175" s="4">
        <v>48</v>
      </c>
      <c r="V175" s="4">
        <f t="shared" si="4"/>
        <v>0</v>
      </c>
      <c r="W175" s="4">
        <f t="shared" si="5"/>
        <v>0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43">
        <v>0.61111111111111105</v>
      </c>
      <c r="J176" s="4">
        <v>60</v>
      </c>
      <c r="K176" s="43"/>
      <c r="L176" s="45">
        <v>0.56944444444444442</v>
      </c>
      <c r="M176" s="43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4"/>
      <c r="T176" s="48">
        <v>27</v>
      </c>
      <c r="U176" s="4">
        <v>48</v>
      </c>
      <c r="V176" s="4">
        <f t="shared" si="4"/>
        <v>0</v>
      </c>
      <c r="W176" s="4">
        <f t="shared" si="5"/>
        <v>0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45">
        <v>0.6875</v>
      </c>
      <c r="I177" s="43">
        <v>0.70833333333333337</v>
      </c>
      <c r="J177" s="4">
        <v>30</v>
      </c>
      <c r="K177" s="43"/>
      <c r="L177" s="45">
        <v>0.6875</v>
      </c>
      <c r="M177" s="43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4"/>
      <c r="T177" s="48">
        <v>35</v>
      </c>
      <c r="U177" s="4">
        <v>48</v>
      </c>
      <c r="V177" s="4">
        <f t="shared" si="4"/>
        <v>0</v>
      </c>
      <c r="W177" s="4">
        <f t="shared" si="5"/>
        <v>0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45">
        <v>0.29166666666666669</v>
      </c>
      <c r="I178" s="43">
        <v>0.30208333333333331</v>
      </c>
      <c r="J178" s="4">
        <v>15</v>
      </c>
      <c r="K178" s="43"/>
      <c r="L178" s="45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4"/>
      <c r="T178" s="48">
        <v>35</v>
      </c>
      <c r="U178" s="4">
        <v>48</v>
      </c>
      <c r="V178" s="4">
        <f t="shared" si="4"/>
        <v>0</v>
      </c>
      <c r="W178" s="4">
        <f t="shared" si="5"/>
        <v>0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4"/>
      <c r="T179" s="48">
        <v>35</v>
      </c>
      <c r="U179" s="4">
        <v>48</v>
      </c>
      <c r="V179" s="4">
        <f t="shared" si="4"/>
        <v>0</v>
      </c>
      <c r="W179" s="4">
        <f t="shared" si="5"/>
        <v>0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43">
        <v>0.45833333333333331</v>
      </c>
      <c r="J180" s="4">
        <v>120</v>
      </c>
      <c r="K180" s="43"/>
      <c r="L180" s="45">
        <v>0.39583333333333331</v>
      </c>
      <c r="M180" s="43">
        <v>0.45833333333333331</v>
      </c>
      <c r="N180" s="4">
        <v>120</v>
      </c>
      <c r="O180" s="6" t="s">
        <v>115</v>
      </c>
      <c r="P180" s="4"/>
      <c r="Q180" s="4"/>
      <c r="R180" s="4"/>
      <c r="S180" s="4"/>
      <c r="T180" s="48">
        <v>35</v>
      </c>
      <c r="U180" s="4">
        <v>48</v>
      </c>
      <c r="V180" s="4">
        <f t="shared" si="4"/>
        <v>0</v>
      </c>
      <c r="W180" s="4">
        <f t="shared" si="5"/>
        <v>0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43">
        <v>0.54166666666666663</v>
      </c>
      <c r="I181" s="43">
        <v>0.5625</v>
      </c>
      <c r="J181" s="4">
        <v>30</v>
      </c>
      <c r="K181" s="43"/>
      <c r="L181" s="43">
        <v>0.54166666666666663</v>
      </c>
      <c r="M181" s="43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4"/>
      <c r="T181" s="48">
        <v>30</v>
      </c>
      <c r="U181" s="4">
        <v>48</v>
      </c>
      <c r="V181" s="4">
        <f t="shared" si="4"/>
        <v>0</v>
      </c>
      <c r="W181" s="4">
        <f t="shared" si="5"/>
        <v>0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43">
        <v>0.5</v>
      </c>
      <c r="I182" s="43">
        <v>0.6875</v>
      </c>
      <c r="J182" s="4">
        <v>270</v>
      </c>
      <c r="K182" s="43"/>
      <c r="L182" s="43">
        <v>0.5</v>
      </c>
      <c r="M182" s="43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4"/>
      <c r="T182" s="48">
        <v>30</v>
      </c>
      <c r="U182" s="4">
        <v>48</v>
      </c>
      <c r="V182" s="4">
        <f t="shared" si="4"/>
        <v>0</v>
      </c>
      <c r="W182" s="4">
        <f t="shared" si="5"/>
        <v>0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43">
        <v>0.46875</v>
      </c>
      <c r="I183" s="43">
        <v>0.5</v>
      </c>
      <c r="J183" s="4">
        <v>45</v>
      </c>
      <c r="K183" s="43"/>
      <c r="L183" s="43">
        <v>0.46875</v>
      </c>
      <c r="M183" s="43">
        <v>0.5</v>
      </c>
      <c r="N183" s="4">
        <v>45</v>
      </c>
      <c r="O183" s="6" t="s">
        <v>290</v>
      </c>
      <c r="P183" s="4"/>
      <c r="Q183" s="4"/>
      <c r="R183" s="4"/>
      <c r="S183" s="4"/>
      <c r="T183" s="48">
        <v>30</v>
      </c>
      <c r="U183" s="4">
        <v>48</v>
      </c>
      <c r="V183" s="4">
        <f t="shared" si="4"/>
        <v>0</v>
      </c>
      <c r="W183" s="4">
        <f t="shared" si="5"/>
        <v>0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45">
        <v>0.3125</v>
      </c>
      <c r="I184" s="43">
        <v>0.41666666666666669</v>
      </c>
      <c r="J184" s="4">
        <v>150</v>
      </c>
      <c r="K184" s="43"/>
      <c r="L184" s="45">
        <v>0.3125</v>
      </c>
      <c r="M184" s="43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4"/>
      <c r="T184" s="48">
        <v>30</v>
      </c>
      <c r="U184" s="4">
        <v>48</v>
      </c>
      <c r="V184" s="4">
        <f t="shared" si="4"/>
        <v>0</v>
      </c>
      <c r="W184" s="4">
        <f t="shared" si="5"/>
        <v>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43">
        <v>0.45833333333333331</v>
      </c>
      <c r="I185" s="43">
        <v>0.48958333333333331</v>
      </c>
      <c r="J185" s="4">
        <v>45</v>
      </c>
      <c r="K185" s="43"/>
      <c r="L185" s="43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4"/>
      <c r="T185" s="48">
        <v>30</v>
      </c>
      <c r="U185" s="4">
        <v>48</v>
      </c>
      <c r="V185" s="4">
        <f t="shared" si="4"/>
        <v>0</v>
      </c>
      <c r="W185" s="4">
        <f t="shared" si="5"/>
        <v>0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43">
        <v>0.58333333333333326</v>
      </c>
      <c r="J186" s="4">
        <v>60</v>
      </c>
      <c r="K186" s="43"/>
      <c r="L186" s="43">
        <v>0.54166666666666663</v>
      </c>
      <c r="M186" s="43">
        <v>0.58333333333333326</v>
      </c>
      <c r="N186" s="4">
        <v>60</v>
      </c>
      <c r="O186" s="4" t="s">
        <v>110</v>
      </c>
      <c r="P186" s="4" t="s">
        <v>221</v>
      </c>
      <c r="Q186" s="4"/>
      <c r="R186" s="4"/>
      <c r="S186" s="4"/>
      <c r="T186" s="48">
        <v>30</v>
      </c>
      <c r="U186" s="4">
        <v>48</v>
      </c>
      <c r="V186" s="4">
        <f t="shared" si="4"/>
        <v>0</v>
      </c>
      <c r="W186" s="4">
        <f t="shared" si="5"/>
        <v>0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45">
        <v>0.70833333333333337</v>
      </c>
      <c r="I187" s="43">
        <v>0.75</v>
      </c>
      <c r="J187" s="4">
        <v>60</v>
      </c>
      <c r="K187" s="43"/>
      <c r="L187" s="45">
        <v>0.70833333333333337</v>
      </c>
      <c r="M187" s="43">
        <v>0.75</v>
      </c>
      <c r="N187" s="4">
        <v>60</v>
      </c>
      <c r="O187" s="6" t="s">
        <v>26</v>
      </c>
      <c r="P187" s="4"/>
      <c r="Q187" s="4"/>
      <c r="R187" s="4"/>
      <c r="S187" s="4"/>
      <c r="T187" s="48">
        <v>30</v>
      </c>
      <c r="U187" s="4">
        <v>48</v>
      </c>
      <c r="V187" s="4">
        <f t="shared" si="4"/>
        <v>0</v>
      </c>
      <c r="W187" s="4">
        <f t="shared" si="5"/>
        <v>0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45">
        <v>0.6875</v>
      </c>
      <c r="I188" s="43">
        <v>0.70833333333333337</v>
      </c>
      <c r="J188" s="4">
        <v>60</v>
      </c>
      <c r="K188" s="43"/>
      <c r="L188" s="45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4"/>
      <c r="T188" s="48">
        <v>30</v>
      </c>
      <c r="U188" s="4">
        <v>48</v>
      </c>
      <c r="V188" s="4">
        <f t="shared" si="4"/>
        <v>0</v>
      </c>
      <c r="W188" s="4">
        <f t="shared" si="5"/>
        <v>0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43">
        <v>0.83333333333333337</v>
      </c>
      <c r="J189" s="4">
        <v>90</v>
      </c>
      <c r="K189" s="43"/>
      <c r="L189" s="45">
        <v>0.77083333333333337</v>
      </c>
      <c r="M189" s="43">
        <v>0.83333333333333337</v>
      </c>
      <c r="N189" s="4">
        <v>90</v>
      </c>
      <c r="O189" s="6" t="s">
        <v>26</v>
      </c>
      <c r="P189" s="4" t="s">
        <v>711</v>
      </c>
      <c r="Q189" s="4"/>
      <c r="R189" s="4"/>
      <c r="S189" s="4"/>
      <c r="T189" s="48">
        <v>30</v>
      </c>
      <c r="U189" s="4">
        <v>48</v>
      </c>
      <c r="V189" s="4">
        <f t="shared" si="4"/>
        <v>0</v>
      </c>
      <c r="W189" s="4">
        <f t="shared" si="5"/>
        <v>0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45">
        <v>0.35416666666666669</v>
      </c>
      <c r="I190" s="43">
        <v>0.375</v>
      </c>
      <c r="J190" s="4">
        <v>30</v>
      </c>
      <c r="K190" s="43"/>
      <c r="L190" s="45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4"/>
      <c r="T190" s="48">
        <v>30</v>
      </c>
      <c r="U190" s="4">
        <v>48</v>
      </c>
      <c r="V190" s="4">
        <f t="shared" si="4"/>
        <v>0</v>
      </c>
      <c r="W190" s="4">
        <f t="shared" si="5"/>
        <v>0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43">
        <v>0.4375</v>
      </c>
      <c r="J191" s="4">
        <v>60</v>
      </c>
      <c r="K191" s="43"/>
      <c r="L191" s="45">
        <v>0.39583333333333331</v>
      </c>
      <c r="M191" s="43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4"/>
      <c r="T191" s="48">
        <v>30</v>
      </c>
      <c r="U191" s="4">
        <v>48</v>
      </c>
      <c r="V191" s="4">
        <f t="shared" si="4"/>
        <v>0</v>
      </c>
      <c r="W191" s="4">
        <f t="shared" si="5"/>
        <v>0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43">
        <v>0.39583333333333331</v>
      </c>
      <c r="I192" s="43">
        <v>0.40625</v>
      </c>
      <c r="J192" s="4">
        <v>15</v>
      </c>
      <c r="K192" s="43"/>
      <c r="L192" s="43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4"/>
      <c r="T192" s="48">
        <v>30</v>
      </c>
      <c r="U192" s="4">
        <v>48</v>
      </c>
      <c r="V192" s="4">
        <f t="shared" si="4"/>
        <v>0</v>
      </c>
      <c r="W192" s="4">
        <f t="shared" si="5"/>
        <v>0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4"/>
      <c r="T193" s="48">
        <v>30</v>
      </c>
      <c r="U193" s="4">
        <v>48</v>
      </c>
      <c r="V193" s="4">
        <f t="shared" si="4"/>
        <v>0</v>
      </c>
      <c r="W193" s="4">
        <f t="shared" si="5"/>
        <v>0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43">
        <v>0.4375</v>
      </c>
      <c r="J194" s="4">
        <v>15</v>
      </c>
      <c r="K194" s="43"/>
      <c r="L194" s="45">
        <v>0.42708333333333331</v>
      </c>
      <c r="M194" s="43">
        <v>0.4375</v>
      </c>
      <c r="N194" s="4">
        <v>15</v>
      </c>
      <c r="O194" s="6" t="s">
        <v>46</v>
      </c>
      <c r="P194" s="4" t="s">
        <v>47</v>
      </c>
      <c r="Q194" s="4"/>
      <c r="R194" s="4"/>
      <c r="S194" s="4"/>
      <c r="T194" s="48">
        <v>30</v>
      </c>
      <c r="U194" s="4">
        <v>48</v>
      </c>
      <c r="V194" s="4">
        <f t="shared" ref="V194:V216" si="6">T194*S194</f>
        <v>0</v>
      </c>
      <c r="W194" s="4">
        <f t="shared" ref="W194:W216" si="7">U194*S194</f>
        <v>0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43">
        <v>0.5</v>
      </c>
      <c r="I195" s="43">
        <v>0.6875</v>
      </c>
      <c r="J195" s="4">
        <v>270</v>
      </c>
      <c r="K195" s="43"/>
      <c r="L195" s="43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4"/>
      <c r="T195" s="48">
        <v>30</v>
      </c>
      <c r="U195" s="4">
        <v>48</v>
      </c>
      <c r="V195" s="4">
        <f t="shared" si="6"/>
        <v>0</v>
      </c>
      <c r="W195" s="4">
        <f t="shared" si="7"/>
        <v>0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43">
        <v>0.58333333333333337</v>
      </c>
      <c r="J196" s="4">
        <v>30</v>
      </c>
      <c r="K196" s="43"/>
      <c r="L196" s="43">
        <v>0.5625</v>
      </c>
      <c r="M196" s="43">
        <v>0.58333333333333337</v>
      </c>
      <c r="N196" s="4">
        <v>30</v>
      </c>
      <c r="O196" s="4" t="s">
        <v>110</v>
      </c>
      <c r="P196" s="4" t="s">
        <v>160</v>
      </c>
      <c r="Q196" s="4"/>
      <c r="R196" s="4"/>
      <c r="S196" s="4"/>
      <c r="T196" s="48">
        <v>30</v>
      </c>
      <c r="U196" s="4">
        <v>48</v>
      </c>
      <c r="V196" s="4">
        <f t="shared" si="6"/>
        <v>0</v>
      </c>
      <c r="W196" s="4">
        <f t="shared" si="7"/>
        <v>0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43">
        <v>0.4375</v>
      </c>
      <c r="I197" s="43">
        <v>0.45833333333333331</v>
      </c>
      <c r="J197" s="4">
        <v>30</v>
      </c>
      <c r="K197" s="43"/>
      <c r="L197" s="43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4"/>
      <c r="T197" s="48">
        <v>30</v>
      </c>
      <c r="U197" s="4">
        <v>48</v>
      </c>
      <c r="V197" s="4">
        <f t="shared" si="6"/>
        <v>0</v>
      </c>
      <c r="W197" s="4">
        <f t="shared" si="7"/>
        <v>0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4"/>
      <c r="T198" s="48">
        <v>30</v>
      </c>
      <c r="U198" s="4">
        <v>48</v>
      </c>
      <c r="V198" s="4">
        <f t="shared" si="6"/>
        <v>0</v>
      </c>
      <c r="W198" s="4">
        <f t="shared" si="7"/>
        <v>0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43">
        <v>0.73958333333333337</v>
      </c>
      <c r="J199" s="4">
        <v>15</v>
      </c>
      <c r="K199" s="43"/>
      <c r="L199" s="43">
        <v>0.72916666666666663</v>
      </c>
      <c r="M199" s="43">
        <v>0.73958333333333337</v>
      </c>
      <c r="N199" s="4">
        <v>15</v>
      </c>
      <c r="O199" s="4" t="s">
        <v>26</v>
      </c>
      <c r="P199" s="4"/>
      <c r="Q199" s="4"/>
      <c r="R199" s="4"/>
      <c r="S199" s="4"/>
      <c r="T199" s="48">
        <v>30</v>
      </c>
      <c r="U199" s="4">
        <v>48</v>
      </c>
      <c r="V199" s="4">
        <f t="shared" si="6"/>
        <v>0</v>
      </c>
      <c r="W199" s="4">
        <f t="shared" si="7"/>
        <v>0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43">
        <v>0.35416666666666669</v>
      </c>
      <c r="I200" s="43">
        <v>0.45833333333333331</v>
      </c>
      <c r="J200" s="4">
        <v>150</v>
      </c>
      <c r="K200" s="43"/>
      <c r="L200" s="43">
        <v>0.35416666666666669</v>
      </c>
      <c r="M200" s="43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4"/>
      <c r="T200" s="4"/>
      <c r="U200" s="4">
        <v>48</v>
      </c>
      <c r="V200" s="4">
        <f t="shared" si="6"/>
        <v>0</v>
      </c>
      <c r="W200" s="4">
        <f t="shared" si="7"/>
        <v>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45">
        <v>0.5625</v>
      </c>
      <c r="I201" s="43">
        <v>0.58333333333333337</v>
      </c>
      <c r="J201" s="4">
        <v>30</v>
      </c>
      <c r="K201" s="43"/>
      <c r="L201" s="45">
        <v>0.5625</v>
      </c>
      <c r="M201" s="43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4"/>
      <c r="T201" s="48">
        <v>40</v>
      </c>
      <c r="U201" s="4">
        <v>48</v>
      </c>
      <c r="V201" s="4">
        <f t="shared" si="6"/>
        <v>0</v>
      </c>
      <c r="W201" s="4">
        <f t="shared" si="7"/>
        <v>0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45">
        <v>0.375</v>
      </c>
      <c r="I202" s="43">
        <v>0.41666666666666669</v>
      </c>
      <c r="J202" s="4">
        <v>60</v>
      </c>
      <c r="K202" s="43"/>
      <c r="L202" s="45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4"/>
      <c r="T202" s="48">
        <v>30</v>
      </c>
      <c r="U202" s="4">
        <v>48</v>
      </c>
      <c r="V202" s="4">
        <f t="shared" si="6"/>
        <v>0</v>
      </c>
      <c r="W202" s="4">
        <f t="shared" si="7"/>
        <v>0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43">
        <v>0.52083333333333337</v>
      </c>
      <c r="J203" s="4">
        <v>150</v>
      </c>
      <c r="K203" s="43"/>
      <c r="L203" s="45">
        <v>0.41666666666666669</v>
      </c>
      <c r="M203" s="43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4"/>
      <c r="T203" s="48">
        <v>30</v>
      </c>
      <c r="U203" s="4">
        <v>48</v>
      </c>
      <c r="V203" s="4">
        <f t="shared" si="6"/>
        <v>0</v>
      </c>
      <c r="W203" s="4">
        <f t="shared" si="7"/>
        <v>0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45">
        <v>0.66666666666666663</v>
      </c>
      <c r="I204" s="43">
        <v>0.6875</v>
      </c>
      <c r="J204" s="4">
        <v>30</v>
      </c>
      <c r="K204" s="43"/>
      <c r="L204" s="45">
        <v>0.66666666666666663</v>
      </c>
      <c r="M204" s="43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4"/>
      <c r="T204" s="48">
        <v>30</v>
      </c>
      <c r="U204" s="4">
        <v>48</v>
      </c>
      <c r="V204" s="4">
        <f t="shared" si="6"/>
        <v>0</v>
      </c>
      <c r="W204" s="4">
        <f t="shared" si="7"/>
        <v>0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45">
        <v>0.41666666666666669</v>
      </c>
      <c r="I205" s="43">
        <v>0.42708333333333337</v>
      </c>
      <c r="J205" s="4">
        <v>15</v>
      </c>
      <c r="K205" s="43"/>
      <c r="L205" s="45">
        <v>0.41666666666666669</v>
      </c>
      <c r="M205" s="43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4"/>
      <c r="T205" s="48">
        <v>30</v>
      </c>
      <c r="U205" s="4">
        <v>48</v>
      </c>
      <c r="V205" s="4">
        <f t="shared" si="6"/>
        <v>0</v>
      </c>
      <c r="W205" s="4">
        <f t="shared" si="7"/>
        <v>0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45">
        <v>0.5625</v>
      </c>
      <c r="I206" s="43">
        <v>0.58333333333333337</v>
      </c>
      <c r="J206" s="4">
        <v>30</v>
      </c>
      <c r="K206" s="43"/>
      <c r="L206" s="45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4"/>
      <c r="T206" s="48">
        <v>32</v>
      </c>
      <c r="U206" s="4">
        <v>48</v>
      </c>
      <c r="V206" s="4">
        <f t="shared" si="6"/>
        <v>0</v>
      </c>
      <c r="W206" s="4">
        <f t="shared" si="7"/>
        <v>0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43">
        <v>0.8125</v>
      </c>
      <c r="J207" s="4">
        <v>300</v>
      </c>
      <c r="K207" s="43"/>
      <c r="L207" s="45">
        <v>0.60416666666666663</v>
      </c>
      <c r="M207" s="43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4"/>
      <c r="T207" s="48">
        <v>32</v>
      </c>
      <c r="U207" s="4">
        <v>48</v>
      </c>
      <c r="V207" s="4">
        <f t="shared" si="6"/>
        <v>0</v>
      </c>
      <c r="W207" s="4">
        <f t="shared" si="7"/>
        <v>0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43">
        <v>0.45833333333333331</v>
      </c>
      <c r="I208" s="43">
        <v>0.5</v>
      </c>
      <c r="J208" s="4">
        <v>60</v>
      </c>
      <c r="K208" s="43"/>
      <c r="L208" s="43">
        <v>0.45833333333333331</v>
      </c>
      <c r="M208" s="43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4"/>
      <c r="T208" s="48">
        <v>32</v>
      </c>
      <c r="U208" s="4">
        <v>48</v>
      </c>
      <c r="V208" s="4">
        <f t="shared" si="6"/>
        <v>0</v>
      </c>
      <c r="W208" s="4">
        <f t="shared" si="7"/>
        <v>0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45">
        <v>0.41666666666666669</v>
      </c>
      <c r="I209" s="43">
        <v>0.45833333333333337</v>
      </c>
      <c r="J209" s="4">
        <v>60</v>
      </c>
      <c r="K209" s="43"/>
      <c r="L209" s="45">
        <v>0.41666666666666669</v>
      </c>
      <c r="M209" s="43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4"/>
      <c r="T209" s="48">
        <v>32</v>
      </c>
      <c r="U209" s="4">
        <v>48</v>
      </c>
      <c r="V209" s="4">
        <f t="shared" si="6"/>
        <v>0</v>
      </c>
      <c r="W209" s="4">
        <f t="shared" si="7"/>
        <v>0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45">
        <v>0.41666666666666669</v>
      </c>
      <c r="I210" s="43">
        <v>0.4375</v>
      </c>
      <c r="J210" s="4">
        <v>30</v>
      </c>
      <c r="K210" s="43"/>
      <c r="L210" s="45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4"/>
      <c r="T210" s="48">
        <v>38</v>
      </c>
      <c r="U210" s="4">
        <v>48</v>
      </c>
      <c r="V210" s="4">
        <f t="shared" si="6"/>
        <v>0</v>
      </c>
      <c r="W210" s="4">
        <f t="shared" si="7"/>
        <v>0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43">
        <v>0.58333333333333337</v>
      </c>
      <c r="J211" s="4">
        <v>150</v>
      </c>
      <c r="K211" s="43"/>
      <c r="L211" s="45">
        <v>0.47916666666666669</v>
      </c>
      <c r="M211" s="43">
        <v>0.58333333333333337</v>
      </c>
      <c r="N211" s="4">
        <v>150</v>
      </c>
      <c r="O211" s="6" t="s">
        <v>323</v>
      </c>
      <c r="P211" s="4" t="s">
        <v>632</v>
      </c>
      <c r="Q211" s="4"/>
      <c r="R211" s="4"/>
      <c r="S211" s="4"/>
      <c r="T211" s="48">
        <v>38</v>
      </c>
      <c r="U211" s="4">
        <v>48</v>
      </c>
      <c r="V211" s="4">
        <f t="shared" si="6"/>
        <v>0</v>
      </c>
      <c r="W211" s="4">
        <f t="shared" si="7"/>
        <v>0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45">
        <v>0.625</v>
      </c>
      <c r="I212" s="43">
        <v>0.64583333333333337</v>
      </c>
      <c r="J212" s="4">
        <v>30</v>
      </c>
      <c r="K212" s="43"/>
      <c r="L212" s="45">
        <v>0.625</v>
      </c>
      <c r="M212" s="43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4"/>
      <c r="T212" s="48">
        <v>38</v>
      </c>
      <c r="U212" s="4">
        <v>48</v>
      </c>
      <c r="V212" s="4">
        <f t="shared" si="6"/>
        <v>0</v>
      </c>
      <c r="W212" s="4">
        <f t="shared" si="7"/>
        <v>0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45">
        <v>0.64583333333333337</v>
      </c>
      <c r="I213" s="43">
        <v>0.66666666666666674</v>
      </c>
      <c r="J213" s="4">
        <v>30</v>
      </c>
      <c r="K213" s="43"/>
      <c r="L213" s="45">
        <v>0.64583333333333337</v>
      </c>
      <c r="M213" s="43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4"/>
      <c r="T213" s="48">
        <v>38</v>
      </c>
      <c r="U213" s="4">
        <v>48</v>
      </c>
      <c r="V213" s="4">
        <f t="shared" si="6"/>
        <v>0</v>
      </c>
      <c r="W213" s="4">
        <f t="shared" si="7"/>
        <v>0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45">
        <v>0.39583333333333331</v>
      </c>
      <c r="I214" s="43">
        <v>0.41666666666666663</v>
      </c>
      <c r="J214" s="4">
        <v>30</v>
      </c>
      <c r="K214" s="43"/>
      <c r="L214" s="45">
        <v>0.39583333333333331</v>
      </c>
      <c r="M214" s="43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4"/>
      <c r="T214" s="48">
        <v>25</v>
      </c>
      <c r="U214" s="4">
        <v>48</v>
      </c>
      <c r="V214" s="4">
        <f t="shared" si="6"/>
        <v>0</v>
      </c>
      <c r="W214" s="4">
        <f t="shared" si="7"/>
        <v>0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45">
        <v>0.41666666666666669</v>
      </c>
      <c r="I215" s="43">
        <v>0.4375</v>
      </c>
      <c r="J215" s="4">
        <v>30</v>
      </c>
      <c r="K215" s="43"/>
      <c r="L215" s="45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4"/>
      <c r="T215" s="48">
        <v>30</v>
      </c>
      <c r="U215" s="4">
        <v>48</v>
      </c>
      <c r="V215" s="4">
        <f t="shared" si="6"/>
        <v>0</v>
      </c>
      <c r="W215" s="4">
        <f t="shared" si="7"/>
        <v>0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43">
        <v>0.54166666666666674</v>
      </c>
      <c r="J216" s="4">
        <v>90</v>
      </c>
      <c r="K216" s="43"/>
      <c r="L216" s="45">
        <v>0.47916666666666669</v>
      </c>
      <c r="M216" s="43">
        <v>0.54166666666666674</v>
      </c>
      <c r="N216" s="4">
        <v>90</v>
      </c>
      <c r="O216" s="6" t="s">
        <v>26</v>
      </c>
      <c r="P216" s="4" t="s">
        <v>192</v>
      </c>
      <c r="Q216" s="4"/>
      <c r="R216" s="4"/>
      <c r="S216" s="4"/>
      <c r="T216" s="48">
        <v>30</v>
      </c>
      <c r="U216" s="4">
        <v>48</v>
      </c>
      <c r="V216" s="4">
        <f t="shared" si="6"/>
        <v>0</v>
      </c>
      <c r="W216" s="4">
        <f t="shared" si="7"/>
        <v>0</v>
      </c>
      <c r="X216" s="4"/>
      <c r="Y216" s="4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16"/>
  <sheetViews>
    <sheetView topLeftCell="D1" workbookViewId="0">
      <selection activeCell="E1" sqref="E1"/>
    </sheetView>
  </sheetViews>
  <sheetFormatPr defaultColWidth="8.81640625" defaultRowHeight="14.5" x14ac:dyDescent="0.35"/>
  <cols>
    <col min="1" max="1" width="22.81640625" customWidth="1"/>
    <col min="3" max="3" width="20.6328125" customWidth="1"/>
    <col min="4" max="4" width="21.36328125" customWidth="1"/>
    <col min="5" max="5" width="16.453125" customWidth="1"/>
    <col min="6" max="6" width="11.81640625" customWidth="1"/>
    <col min="7" max="7" width="11.36328125" customWidth="1"/>
    <col min="8" max="9" width="8.81640625" style="47"/>
    <col min="10" max="10" width="9.1796875" customWidth="1"/>
    <col min="11" max="11" width="10.453125" style="47" customWidth="1"/>
    <col min="12" max="13" width="8.81640625" style="47"/>
    <col min="15" max="23" width="11.453125" customWidth="1"/>
    <col min="24" max="24" width="16.453125" customWidth="1"/>
    <col min="25" max="25" width="9.1796875" customWidth="1"/>
  </cols>
  <sheetData>
    <row r="1" spans="1:25" x14ac:dyDescent="0.35">
      <c r="A1" s="37" t="s">
        <v>1</v>
      </c>
      <c r="B1" s="37" t="s">
        <v>2</v>
      </c>
      <c r="C1" s="37" t="s">
        <v>3</v>
      </c>
      <c r="D1" s="37" t="s">
        <v>4</v>
      </c>
      <c r="E1" s="41" t="s">
        <v>5</v>
      </c>
      <c r="F1" s="37" t="s">
        <v>6</v>
      </c>
      <c r="G1" s="37" t="s">
        <v>7</v>
      </c>
      <c r="H1" s="42" t="s">
        <v>795</v>
      </c>
      <c r="I1" s="42" t="s">
        <v>796</v>
      </c>
      <c r="J1" s="37" t="s">
        <v>797</v>
      </c>
      <c r="K1" s="42" t="s">
        <v>807</v>
      </c>
      <c r="L1" s="42" t="s">
        <v>798</v>
      </c>
      <c r="M1" s="42" t="s">
        <v>799</v>
      </c>
      <c r="N1" s="37" t="s">
        <v>800</v>
      </c>
      <c r="O1" s="37" t="s">
        <v>11</v>
      </c>
      <c r="P1" s="37" t="s">
        <v>12</v>
      </c>
      <c r="Q1" s="37" t="s">
        <v>0</v>
      </c>
      <c r="R1" s="40" t="s">
        <v>806</v>
      </c>
      <c r="S1" s="37" t="s">
        <v>801</v>
      </c>
      <c r="T1" s="37" t="s">
        <v>802</v>
      </c>
      <c r="U1" s="37" t="s">
        <v>803</v>
      </c>
      <c r="V1" s="37" t="s">
        <v>804</v>
      </c>
      <c r="W1" s="37" t="s">
        <v>805</v>
      </c>
      <c r="X1" s="36" t="s">
        <v>14</v>
      </c>
      <c r="Y1" s="36" t="s">
        <v>20</v>
      </c>
    </row>
    <row r="2" spans="1:25" x14ac:dyDescent="0.35">
      <c r="A2" s="30" t="s">
        <v>154</v>
      </c>
      <c r="B2" s="4" t="s">
        <v>23</v>
      </c>
      <c r="C2" s="4" t="s">
        <v>64</v>
      </c>
      <c r="D2" s="4" t="s">
        <v>65</v>
      </c>
      <c r="E2" s="4" t="s">
        <v>24</v>
      </c>
      <c r="F2" s="4" t="s">
        <v>66</v>
      </c>
      <c r="G2" s="5">
        <v>42669</v>
      </c>
      <c r="H2" s="52">
        <v>0.58333333333333337</v>
      </c>
      <c r="I2" s="56">
        <v>0.61458333333333337</v>
      </c>
      <c r="J2" s="4">
        <v>45</v>
      </c>
      <c r="K2" s="43"/>
      <c r="L2" s="52">
        <v>0.58333333333333337</v>
      </c>
      <c r="M2" s="56">
        <v>0.61458333333333337</v>
      </c>
      <c r="N2" s="4">
        <v>45</v>
      </c>
      <c r="O2" s="4" t="s">
        <v>141</v>
      </c>
      <c r="P2" s="4" t="s">
        <v>142</v>
      </c>
      <c r="Q2" s="4"/>
      <c r="R2" s="4"/>
      <c r="S2" s="50">
        <v>1</v>
      </c>
      <c r="T2" s="48">
        <v>30</v>
      </c>
      <c r="U2" s="4">
        <v>48</v>
      </c>
      <c r="V2" s="4">
        <f t="shared" ref="V2:V65" si="0">T2*S2</f>
        <v>30</v>
      </c>
      <c r="W2" s="4">
        <f t="shared" ref="W2:W65" si="1">U2*S2</f>
        <v>48</v>
      </c>
      <c r="X2" s="4" t="s">
        <v>673</v>
      </c>
      <c r="Y2" s="4"/>
    </row>
    <row r="3" spans="1:25" x14ac:dyDescent="0.35">
      <c r="A3" s="8" t="s">
        <v>154</v>
      </c>
      <c r="B3" s="11" t="s">
        <v>40</v>
      </c>
      <c r="C3" s="9" t="s">
        <v>787</v>
      </c>
      <c r="D3" s="9" t="s">
        <v>788</v>
      </c>
      <c r="E3" s="9" t="s">
        <v>266</v>
      </c>
      <c r="F3" s="9" t="s">
        <v>789</v>
      </c>
      <c r="G3" s="19">
        <v>42670</v>
      </c>
      <c r="H3" s="54">
        <v>0.5625</v>
      </c>
      <c r="I3" s="58">
        <v>0.57291666666666663</v>
      </c>
      <c r="J3" s="9">
        <v>15</v>
      </c>
      <c r="K3" s="44"/>
      <c r="L3" s="54">
        <v>0.5625</v>
      </c>
      <c r="M3" s="58">
        <v>0.57291666666666663</v>
      </c>
      <c r="N3" s="9">
        <v>15</v>
      </c>
      <c r="O3" s="9" t="s">
        <v>138</v>
      </c>
      <c r="P3" s="9" t="s">
        <v>139</v>
      </c>
      <c r="Q3" s="9"/>
      <c r="R3" s="9"/>
      <c r="S3" s="57">
        <v>1</v>
      </c>
      <c r="T3" s="49">
        <v>30</v>
      </c>
      <c r="U3" s="9">
        <v>48</v>
      </c>
      <c r="V3" s="4">
        <f t="shared" si="0"/>
        <v>30</v>
      </c>
      <c r="W3" s="4">
        <f t="shared" si="1"/>
        <v>48</v>
      </c>
      <c r="X3" s="9"/>
      <c r="Y3" s="9"/>
    </row>
    <row r="4" spans="1:25" x14ac:dyDescent="0.35">
      <c r="A4" s="8" t="s">
        <v>154</v>
      </c>
      <c r="B4" s="10" t="s">
        <v>86</v>
      </c>
      <c r="C4" s="4" t="s">
        <v>773</v>
      </c>
      <c r="D4" s="4" t="s">
        <v>774</v>
      </c>
      <c r="E4" s="4" t="s">
        <v>24</v>
      </c>
      <c r="F4" s="4" t="s">
        <v>775</v>
      </c>
      <c r="G4" s="5">
        <v>42670</v>
      </c>
      <c r="H4" s="52">
        <v>0.39583333333333331</v>
      </c>
      <c r="I4" s="56">
        <v>0.41666666666666663</v>
      </c>
      <c r="J4" s="4">
        <v>30</v>
      </c>
      <c r="K4" s="43"/>
      <c r="L4" s="52">
        <v>0.39583333333333331</v>
      </c>
      <c r="M4" s="56">
        <v>0.41666666666666663</v>
      </c>
      <c r="N4" s="4">
        <v>30</v>
      </c>
      <c r="O4" s="6" t="s">
        <v>146</v>
      </c>
      <c r="P4" s="4" t="s">
        <v>50</v>
      </c>
      <c r="Q4" s="4"/>
      <c r="R4" s="4"/>
      <c r="S4" s="50">
        <v>1</v>
      </c>
      <c r="T4" s="48">
        <v>30</v>
      </c>
      <c r="U4" s="4">
        <v>48</v>
      </c>
      <c r="V4" s="4">
        <f t="shared" si="0"/>
        <v>30</v>
      </c>
      <c r="W4" s="4">
        <f t="shared" si="1"/>
        <v>48</v>
      </c>
      <c r="X4" s="4"/>
      <c r="Y4" s="4"/>
    </row>
    <row r="5" spans="1:25" x14ac:dyDescent="0.35">
      <c r="A5" s="8" t="s">
        <v>154</v>
      </c>
      <c r="B5" s="4" t="s">
        <v>23</v>
      </c>
      <c r="C5" s="4" t="s">
        <v>573</v>
      </c>
      <c r="D5" s="4" t="s">
        <v>574</v>
      </c>
      <c r="E5" s="4" t="s">
        <v>24</v>
      </c>
      <c r="F5" s="4" t="s">
        <v>575</v>
      </c>
      <c r="G5" s="5">
        <v>42670</v>
      </c>
      <c r="H5" s="52">
        <v>0.5625</v>
      </c>
      <c r="I5" s="56">
        <v>0.72916666666666663</v>
      </c>
      <c r="J5" s="4">
        <v>240</v>
      </c>
      <c r="K5" s="43"/>
      <c r="L5" s="52">
        <v>0.5625</v>
      </c>
      <c r="M5" s="56">
        <v>0.72916666666666663</v>
      </c>
      <c r="N5" s="4">
        <v>240</v>
      </c>
      <c r="O5" s="4" t="s">
        <v>195</v>
      </c>
      <c r="P5" s="4" t="s">
        <v>754</v>
      </c>
      <c r="Q5" s="4"/>
      <c r="R5" s="4"/>
      <c r="S5" s="50">
        <v>4</v>
      </c>
      <c r="T5" s="48">
        <v>30</v>
      </c>
      <c r="U5" s="4">
        <v>48</v>
      </c>
      <c r="V5" s="4">
        <f t="shared" si="0"/>
        <v>120</v>
      </c>
      <c r="W5" s="4">
        <f t="shared" si="1"/>
        <v>192</v>
      </c>
      <c r="X5" s="4" t="s">
        <v>360</v>
      </c>
      <c r="Y5" s="4"/>
    </row>
    <row r="6" spans="1:25" x14ac:dyDescent="0.35">
      <c r="A6" s="8" t="s">
        <v>474</v>
      </c>
      <c r="B6" s="4" t="s">
        <v>23</v>
      </c>
      <c r="C6" s="4" t="s">
        <v>230</v>
      </c>
      <c r="D6" s="4" t="s">
        <v>441</v>
      </c>
      <c r="E6" s="4" t="s">
        <v>41</v>
      </c>
      <c r="F6" s="4" t="s">
        <v>442</v>
      </c>
      <c r="G6" s="5">
        <v>42669</v>
      </c>
      <c r="H6" s="52">
        <v>0.47916666666666669</v>
      </c>
      <c r="I6" s="43">
        <v>0.49305555555555558</v>
      </c>
      <c r="J6" s="4">
        <v>20</v>
      </c>
      <c r="K6" s="43"/>
      <c r="L6" s="52">
        <v>0.47916666666666669</v>
      </c>
      <c r="M6" s="43">
        <v>0.49305555555555558</v>
      </c>
      <c r="N6" s="4">
        <v>20</v>
      </c>
      <c r="O6" s="15" t="s">
        <v>133</v>
      </c>
      <c r="P6" s="4" t="s">
        <v>631</v>
      </c>
      <c r="Q6" s="4"/>
      <c r="R6" s="4"/>
      <c r="S6" s="53">
        <v>0.5</v>
      </c>
      <c r="T6" s="48">
        <v>30</v>
      </c>
      <c r="U6" s="4">
        <v>48</v>
      </c>
      <c r="V6" s="4">
        <f t="shared" si="0"/>
        <v>15</v>
      </c>
      <c r="W6" s="4">
        <f t="shared" si="1"/>
        <v>24</v>
      </c>
      <c r="X6" s="4"/>
      <c r="Y6" s="4"/>
    </row>
    <row r="7" spans="1:25" x14ac:dyDescent="0.35">
      <c r="A7" s="8" t="s">
        <v>474</v>
      </c>
      <c r="B7" s="10" t="s">
        <v>40</v>
      </c>
      <c r="C7" s="4" t="s">
        <v>230</v>
      </c>
      <c r="D7" s="4" t="s">
        <v>441</v>
      </c>
      <c r="E7" s="4" t="s">
        <v>41</v>
      </c>
      <c r="F7" s="4" t="s">
        <v>442</v>
      </c>
      <c r="G7" s="5">
        <v>42669</v>
      </c>
      <c r="H7" s="45">
        <v>0.5</v>
      </c>
      <c r="I7" s="56">
        <v>0.51388888888888884</v>
      </c>
      <c r="J7" s="4">
        <v>20</v>
      </c>
      <c r="K7" s="43"/>
      <c r="L7" s="45">
        <v>0.5</v>
      </c>
      <c r="M7" s="56">
        <v>0.51388888888888884</v>
      </c>
      <c r="N7" s="4">
        <v>20</v>
      </c>
      <c r="O7" s="15" t="s">
        <v>133</v>
      </c>
      <c r="P7" s="4" t="s">
        <v>631</v>
      </c>
      <c r="Q7" s="4"/>
      <c r="R7" s="4"/>
      <c r="S7" s="50">
        <v>1</v>
      </c>
      <c r="T7" s="48">
        <v>30</v>
      </c>
      <c r="U7" s="4">
        <v>48</v>
      </c>
      <c r="V7" s="4">
        <f t="shared" si="0"/>
        <v>30</v>
      </c>
      <c r="W7" s="4">
        <f t="shared" si="1"/>
        <v>48</v>
      </c>
      <c r="X7" s="4"/>
      <c r="Y7" s="4"/>
    </row>
    <row r="8" spans="1:25" x14ac:dyDescent="0.35">
      <c r="A8" s="30" t="s">
        <v>474</v>
      </c>
      <c r="B8" s="4" t="s">
        <v>23</v>
      </c>
      <c r="C8" s="4" t="s">
        <v>383</v>
      </c>
      <c r="D8" s="4" t="s">
        <v>405</v>
      </c>
      <c r="E8" s="4" t="s">
        <v>114</v>
      </c>
      <c r="F8" s="4" t="s">
        <v>406</v>
      </c>
      <c r="G8" s="5">
        <v>42670</v>
      </c>
      <c r="H8" s="52">
        <v>0.45833333333333331</v>
      </c>
      <c r="I8" s="56">
        <v>0.47916666666666663</v>
      </c>
      <c r="J8" s="4">
        <v>30</v>
      </c>
      <c r="K8" s="43"/>
      <c r="L8" s="52">
        <v>0.45833333333333331</v>
      </c>
      <c r="M8" s="56">
        <v>0.47916666666666663</v>
      </c>
      <c r="N8" s="4">
        <v>30</v>
      </c>
      <c r="O8" s="6" t="s">
        <v>156</v>
      </c>
      <c r="P8" s="4" t="s">
        <v>50</v>
      </c>
      <c r="Q8" s="4"/>
      <c r="R8" s="4"/>
      <c r="S8" s="50">
        <v>1</v>
      </c>
      <c r="T8" s="48">
        <v>30</v>
      </c>
      <c r="U8" s="4">
        <v>48</v>
      </c>
      <c r="V8" s="4">
        <f t="shared" si="0"/>
        <v>30</v>
      </c>
      <c r="W8" s="4">
        <f t="shared" si="1"/>
        <v>48</v>
      </c>
      <c r="X8" s="4"/>
      <c r="Y8" s="4"/>
    </row>
    <row r="9" spans="1:25" x14ac:dyDescent="0.35">
      <c r="A9" s="30" t="s">
        <v>474</v>
      </c>
      <c r="B9" s="4" t="s">
        <v>23</v>
      </c>
      <c r="C9" s="4" t="s">
        <v>730</v>
      </c>
      <c r="D9" s="4" t="s">
        <v>571</v>
      </c>
      <c r="E9" s="4" t="s">
        <v>114</v>
      </c>
      <c r="F9" s="4" t="s">
        <v>572</v>
      </c>
      <c r="G9" s="5">
        <v>42670</v>
      </c>
      <c r="H9" s="52">
        <v>0.375</v>
      </c>
      <c r="I9" s="43">
        <v>0.41666666666666669</v>
      </c>
      <c r="J9" s="4">
        <v>60</v>
      </c>
      <c r="K9" s="43"/>
      <c r="L9" s="52">
        <v>0.375</v>
      </c>
      <c r="M9" s="43">
        <v>0.41666666666666669</v>
      </c>
      <c r="N9" s="4">
        <v>60</v>
      </c>
      <c r="O9" s="4" t="s">
        <v>167</v>
      </c>
      <c r="P9" s="4"/>
      <c r="Q9" s="4"/>
      <c r="R9" s="4"/>
      <c r="S9" s="53">
        <v>1</v>
      </c>
      <c r="T9" s="48">
        <v>30</v>
      </c>
      <c r="U9" s="4">
        <v>48</v>
      </c>
      <c r="V9" s="4">
        <f t="shared" si="0"/>
        <v>30</v>
      </c>
      <c r="W9" s="4">
        <f t="shared" si="1"/>
        <v>48</v>
      </c>
      <c r="X9" s="4"/>
      <c r="Y9" s="4"/>
    </row>
    <row r="10" spans="1:25" x14ac:dyDescent="0.35">
      <c r="A10" s="30" t="s">
        <v>474</v>
      </c>
      <c r="B10" s="4" t="s">
        <v>23</v>
      </c>
      <c r="C10" s="4" t="s">
        <v>730</v>
      </c>
      <c r="D10" s="4" t="s">
        <v>571</v>
      </c>
      <c r="E10" s="4" t="s">
        <v>114</v>
      </c>
      <c r="F10" s="4" t="s">
        <v>572</v>
      </c>
      <c r="G10" s="5">
        <v>42670</v>
      </c>
      <c r="H10" s="43">
        <v>0.41666666666666669</v>
      </c>
      <c r="I10" s="56">
        <v>0.45833333333333337</v>
      </c>
      <c r="J10" s="4">
        <v>60</v>
      </c>
      <c r="K10" s="43"/>
      <c r="L10" s="43">
        <v>0.41666666666666669</v>
      </c>
      <c r="M10" s="56">
        <v>0.45833333333333337</v>
      </c>
      <c r="N10" s="4">
        <v>60</v>
      </c>
      <c r="O10" s="4" t="s">
        <v>167</v>
      </c>
      <c r="P10" s="4" t="s">
        <v>597</v>
      </c>
      <c r="Q10" s="4"/>
      <c r="R10" s="4"/>
      <c r="S10" s="50">
        <v>2</v>
      </c>
      <c r="T10" s="48">
        <v>30</v>
      </c>
      <c r="U10" s="4">
        <v>48</v>
      </c>
      <c r="V10" s="4">
        <f t="shared" si="0"/>
        <v>60</v>
      </c>
      <c r="W10" s="4">
        <f t="shared" si="1"/>
        <v>96</v>
      </c>
      <c r="X10" s="4" t="s">
        <v>51</v>
      </c>
      <c r="Y10" s="4"/>
    </row>
    <row r="11" spans="1:25" x14ac:dyDescent="0.35">
      <c r="A11" s="30" t="s">
        <v>474</v>
      </c>
      <c r="B11" s="4" t="s">
        <v>23</v>
      </c>
      <c r="C11" s="4" t="s">
        <v>730</v>
      </c>
      <c r="D11" s="4" t="s">
        <v>571</v>
      </c>
      <c r="E11" s="4" t="s">
        <v>114</v>
      </c>
      <c r="F11" s="4" t="s">
        <v>572</v>
      </c>
      <c r="G11" s="5">
        <v>42670</v>
      </c>
      <c r="H11" s="52">
        <v>0.53125</v>
      </c>
      <c r="I11" s="43">
        <v>0.58333333333333337</v>
      </c>
      <c r="J11" s="4">
        <v>75</v>
      </c>
      <c r="K11" s="43"/>
      <c r="L11" s="52">
        <v>0.53125</v>
      </c>
      <c r="M11" s="43">
        <v>0.58333333333333337</v>
      </c>
      <c r="N11" s="4">
        <v>75</v>
      </c>
      <c r="O11" s="4" t="s">
        <v>167</v>
      </c>
      <c r="P11" s="4"/>
      <c r="Q11" s="4"/>
      <c r="R11" s="4"/>
      <c r="S11" s="53">
        <v>1.25</v>
      </c>
      <c r="T11" s="48">
        <v>30</v>
      </c>
      <c r="U11" s="4">
        <v>48</v>
      </c>
      <c r="V11" s="4">
        <f t="shared" si="0"/>
        <v>37.5</v>
      </c>
      <c r="W11" s="4">
        <f t="shared" si="1"/>
        <v>60</v>
      </c>
      <c r="X11" s="4"/>
      <c r="Y11" s="4"/>
    </row>
    <row r="12" spans="1:25" x14ac:dyDescent="0.35">
      <c r="A12" s="30" t="s">
        <v>474</v>
      </c>
      <c r="B12" s="4" t="s">
        <v>23</v>
      </c>
      <c r="C12" s="4" t="s">
        <v>730</v>
      </c>
      <c r="D12" s="4" t="s">
        <v>571</v>
      </c>
      <c r="E12" s="4" t="s">
        <v>114</v>
      </c>
      <c r="F12" s="4" t="s">
        <v>572</v>
      </c>
      <c r="G12" s="5">
        <v>42670</v>
      </c>
      <c r="H12" s="43">
        <v>0.58333333333333337</v>
      </c>
      <c r="I12" s="56">
        <v>0.625</v>
      </c>
      <c r="J12" s="4">
        <v>60</v>
      </c>
      <c r="K12" s="43"/>
      <c r="L12" s="43">
        <v>0.58333333333333337</v>
      </c>
      <c r="M12" s="56">
        <v>0.625</v>
      </c>
      <c r="N12" s="4">
        <v>60</v>
      </c>
      <c r="O12" s="4" t="s">
        <v>167</v>
      </c>
      <c r="P12" s="4"/>
      <c r="Q12" s="59" t="s">
        <v>809</v>
      </c>
      <c r="R12" s="4"/>
      <c r="S12" s="50">
        <v>2.25</v>
      </c>
      <c r="T12" s="48">
        <v>30</v>
      </c>
      <c r="U12" s="4">
        <v>48</v>
      </c>
      <c r="V12" s="4">
        <f t="shared" si="0"/>
        <v>67.5</v>
      </c>
      <c r="W12" s="4">
        <f t="shared" si="1"/>
        <v>108</v>
      </c>
      <c r="X12" s="4"/>
      <c r="Y12" s="4"/>
    </row>
    <row r="13" spans="1:25" x14ac:dyDescent="0.35">
      <c r="A13" s="8" t="s">
        <v>313</v>
      </c>
      <c r="B13" s="10" t="s">
        <v>780</v>
      </c>
      <c r="C13" s="4" t="s">
        <v>726</v>
      </c>
      <c r="D13" s="4" t="s">
        <v>475</v>
      </c>
      <c r="E13" s="4" t="s">
        <v>24</v>
      </c>
      <c r="F13" s="4" t="s">
        <v>727</v>
      </c>
      <c r="G13" s="5">
        <v>42670</v>
      </c>
      <c r="H13" s="52">
        <v>0.40277777777777773</v>
      </c>
      <c r="I13" s="56">
        <v>0.42361111111111105</v>
      </c>
      <c r="J13" s="4">
        <v>30</v>
      </c>
      <c r="K13" s="43"/>
      <c r="L13" s="52">
        <v>0.40277777777777773</v>
      </c>
      <c r="M13" s="56">
        <v>0.42361111111111105</v>
      </c>
      <c r="N13" s="4">
        <v>30</v>
      </c>
      <c r="O13" s="14" t="s">
        <v>59</v>
      </c>
      <c r="P13" s="4" t="s">
        <v>781</v>
      </c>
      <c r="Q13" s="4"/>
      <c r="R13" s="4"/>
      <c r="S13" s="50">
        <v>1</v>
      </c>
      <c r="T13" s="48">
        <v>30</v>
      </c>
      <c r="U13" s="4">
        <v>48</v>
      </c>
      <c r="V13" s="4">
        <f t="shared" si="0"/>
        <v>30</v>
      </c>
      <c r="W13" s="4">
        <f t="shared" si="1"/>
        <v>48</v>
      </c>
      <c r="X13" s="4"/>
      <c r="Y13" s="4"/>
    </row>
    <row r="14" spans="1:25" x14ac:dyDescent="0.35">
      <c r="A14" s="8" t="s">
        <v>244</v>
      </c>
      <c r="B14" s="4" t="s">
        <v>23</v>
      </c>
      <c r="C14" s="4" t="s">
        <v>294</v>
      </c>
      <c r="D14" s="4" t="s">
        <v>699</v>
      </c>
      <c r="E14" s="4" t="s">
        <v>114</v>
      </c>
      <c r="F14" s="4" t="s">
        <v>700</v>
      </c>
      <c r="G14" s="5">
        <v>42669</v>
      </c>
      <c r="H14" s="52">
        <v>0.6875</v>
      </c>
      <c r="I14" s="56">
        <v>0.70833333333333337</v>
      </c>
      <c r="J14" s="4">
        <v>30</v>
      </c>
      <c r="K14" s="43"/>
      <c r="L14" s="52">
        <v>0.6875</v>
      </c>
      <c r="M14" s="56">
        <v>0.70833333333333337</v>
      </c>
      <c r="N14" s="4">
        <v>30</v>
      </c>
      <c r="O14" s="6" t="s">
        <v>179</v>
      </c>
      <c r="P14" s="4" t="s">
        <v>50</v>
      </c>
      <c r="Q14" s="4"/>
      <c r="R14" s="4"/>
      <c r="S14" s="50">
        <v>1</v>
      </c>
      <c r="T14" s="48">
        <v>32</v>
      </c>
      <c r="U14" s="4">
        <v>48</v>
      </c>
      <c r="V14" s="4">
        <f t="shared" si="0"/>
        <v>32</v>
      </c>
      <c r="W14" s="4">
        <f t="shared" si="1"/>
        <v>48</v>
      </c>
      <c r="X14" s="4" t="s">
        <v>51</v>
      </c>
      <c r="Y14" s="4"/>
    </row>
    <row r="15" spans="1:25" x14ac:dyDescent="0.35">
      <c r="A15" s="8" t="s">
        <v>244</v>
      </c>
      <c r="B15" s="4" t="s">
        <v>23</v>
      </c>
      <c r="C15" s="4" t="s">
        <v>218</v>
      </c>
      <c r="D15" s="4" t="s">
        <v>219</v>
      </c>
      <c r="E15" s="4" t="s">
        <v>114</v>
      </c>
      <c r="F15" s="4" t="s">
        <v>220</v>
      </c>
      <c r="G15" s="5">
        <v>42669</v>
      </c>
      <c r="H15" s="52">
        <v>0.63541666666666663</v>
      </c>
      <c r="I15" s="56">
        <v>0.65625</v>
      </c>
      <c r="J15" s="4">
        <v>45</v>
      </c>
      <c r="K15" s="43"/>
      <c r="L15" s="52">
        <v>0.63541666666666663</v>
      </c>
      <c r="M15" s="56">
        <v>0.65625</v>
      </c>
      <c r="N15" s="4">
        <v>45</v>
      </c>
      <c r="O15" s="6" t="s">
        <v>695</v>
      </c>
      <c r="P15" s="4"/>
      <c r="Q15" s="4"/>
      <c r="R15" s="4"/>
      <c r="S15" s="50">
        <v>1</v>
      </c>
      <c r="T15" s="48">
        <v>32</v>
      </c>
      <c r="U15" s="4">
        <v>48</v>
      </c>
      <c r="V15" s="4">
        <f t="shared" si="0"/>
        <v>32</v>
      </c>
      <c r="W15" s="4">
        <f t="shared" si="1"/>
        <v>48</v>
      </c>
      <c r="X15" s="4"/>
      <c r="Y15" s="4"/>
    </row>
    <row r="16" spans="1:25" x14ac:dyDescent="0.35">
      <c r="A16" s="8" t="s">
        <v>78</v>
      </c>
      <c r="B16" s="4" t="s">
        <v>23</v>
      </c>
      <c r="C16" s="4" t="s">
        <v>480</v>
      </c>
      <c r="D16" s="4" t="s">
        <v>481</v>
      </c>
      <c r="E16" s="4" t="s">
        <v>24</v>
      </c>
      <c r="F16" s="4" t="s">
        <v>482</v>
      </c>
      <c r="G16" s="5">
        <v>42668</v>
      </c>
      <c r="H16" s="52">
        <v>0.33333333333333331</v>
      </c>
      <c r="I16" s="56">
        <v>0.35416666666666663</v>
      </c>
      <c r="J16" s="4">
        <v>30</v>
      </c>
      <c r="K16" s="43"/>
      <c r="L16" s="52">
        <v>0.33333333333333331</v>
      </c>
      <c r="M16" s="56">
        <v>0.35416666666666663</v>
      </c>
      <c r="N16" s="4">
        <v>30</v>
      </c>
      <c r="O16" s="6" t="s">
        <v>179</v>
      </c>
      <c r="P16" s="4" t="s">
        <v>50</v>
      </c>
      <c r="Q16" s="4"/>
      <c r="R16" s="4"/>
      <c r="S16" s="50">
        <v>1</v>
      </c>
      <c r="T16" s="48">
        <v>32</v>
      </c>
      <c r="U16" s="4">
        <v>48</v>
      </c>
      <c r="V16" s="4">
        <f t="shared" si="0"/>
        <v>32</v>
      </c>
      <c r="W16" s="4">
        <f t="shared" si="1"/>
        <v>48</v>
      </c>
      <c r="X16" s="4"/>
      <c r="Y16" s="4"/>
    </row>
    <row r="17" spans="1:25" x14ac:dyDescent="0.35">
      <c r="A17" s="8" t="s">
        <v>78</v>
      </c>
      <c r="B17" s="4" t="s">
        <v>23</v>
      </c>
      <c r="C17" s="4" t="s">
        <v>435</v>
      </c>
      <c r="D17" s="4" t="s">
        <v>436</v>
      </c>
      <c r="E17" s="4" t="s">
        <v>24</v>
      </c>
      <c r="F17" s="4" t="s">
        <v>437</v>
      </c>
      <c r="G17" s="5">
        <v>42668</v>
      </c>
      <c r="H17" s="52">
        <v>0.36458333333333331</v>
      </c>
      <c r="I17" s="43">
        <v>0.375</v>
      </c>
      <c r="J17" s="4">
        <v>15</v>
      </c>
      <c r="K17" s="43"/>
      <c r="L17" s="52">
        <v>0.36458333333333331</v>
      </c>
      <c r="M17" s="43">
        <v>0.375</v>
      </c>
      <c r="N17" s="4">
        <v>15</v>
      </c>
      <c r="O17" s="6" t="s">
        <v>115</v>
      </c>
      <c r="P17" s="4" t="s">
        <v>241</v>
      </c>
      <c r="Q17" s="4"/>
      <c r="R17" s="4"/>
      <c r="S17" s="53">
        <v>0.25</v>
      </c>
      <c r="T17" s="48">
        <v>32</v>
      </c>
      <c r="U17" s="4">
        <v>48</v>
      </c>
      <c r="V17" s="4">
        <f t="shared" si="0"/>
        <v>8</v>
      </c>
      <c r="W17" s="4">
        <f t="shared" si="1"/>
        <v>12</v>
      </c>
      <c r="X17" s="4"/>
      <c r="Y17" s="4"/>
    </row>
    <row r="18" spans="1:25" x14ac:dyDescent="0.35">
      <c r="A18" s="8" t="s">
        <v>78</v>
      </c>
      <c r="B18" s="4" t="s">
        <v>23</v>
      </c>
      <c r="C18" s="4" t="s">
        <v>435</v>
      </c>
      <c r="D18" s="4" t="s">
        <v>436</v>
      </c>
      <c r="E18" s="4" t="s">
        <v>24</v>
      </c>
      <c r="F18" s="4" t="s">
        <v>437</v>
      </c>
      <c r="G18" s="5">
        <v>42668</v>
      </c>
      <c r="H18" s="45">
        <v>0.3888888888888889</v>
      </c>
      <c r="I18" s="43">
        <v>0.39583333333333331</v>
      </c>
      <c r="J18" s="4">
        <v>10</v>
      </c>
      <c r="K18" s="43"/>
      <c r="L18" s="45">
        <v>0.3888888888888889</v>
      </c>
      <c r="M18" s="43">
        <v>0.39583333333333331</v>
      </c>
      <c r="N18" s="4">
        <v>10</v>
      </c>
      <c r="O18" s="6" t="s">
        <v>74</v>
      </c>
      <c r="P18" s="4" t="s">
        <v>215</v>
      </c>
      <c r="Q18" s="4"/>
      <c r="R18" s="4"/>
      <c r="S18" s="53">
        <v>0.25</v>
      </c>
      <c r="T18" s="48">
        <v>32</v>
      </c>
      <c r="U18" s="4">
        <v>48</v>
      </c>
      <c r="V18" s="4">
        <f t="shared" si="0"/>
        <v>8</v>
      </c>
      <c r="W18" s="4">
        <f t="shared" si="1"/>
        <v>12</v>
      </c>
      <c r="X18" s="4"/>
      <c r="Y18" s="4"/>
    </row>
    <row r="19" spans="1:25" x14ac:dyDescent="0.35">
      <c r="A19" s="8" t="s">
        <v>78</v>
      </c>
      <c r="B19" s="4" t="s">
        <v>23</v>
      </c>
      <c r="C19" s="4" t="s">
        <v>435</v>
      </c>
      <c r="D19" s="4" t="s">
        <v>436</v>
      </c>
      <c r="E19" s="4" t="s">
        <v>24</v>
      </c>
      <c r="F19" s="4" t="s">
        <v>437</v>
      </c>
      <c r="G19" s="5">
        <v>42668</v>
      </c>
      <c r="H19" s="45">
        <v>0.39583333333333331</v>
      </c>
      <c r="I19" s="56">
        <v>0.4236111111111111</v>
      </c>
      <c r="J19" s="4">
        <v>40</v>
      </c>
      <c r="K19" s="43"/>
      <c r="L19" s="45">
        <v>0.39583333333333331</v>
      </c>
      <c r="M19" s="56">
        <v>0.4236111111111111</v>
      </c>
      <c r="N19" s="4">
        <v>40</v>
      </c>
      <c r="O19" s="6" t="s">
        <v>74</v>
      </c>
      <c r="P19" s="4" t="s">
        <v>91</v>
      </c>
      <c r="Q19" s="4"/>
      <c r="R19" s="4"/>
      <c r="S19" s="50">
        <v>1.5</v>
      </c>
      <c r="T19" s="48">
        <v>32</v>
      </c>
      <c r="U19" s="4">
        <v>48</v>
      </c>
      <c r="V19" s="4">
        <f t="shared" si="0"/>
        <v>48</v>
      </c>
      <c r="W19" s="4">
        <f t="shared" si="1"/>
        <v>72</v>
      </c>
      <c r="X19" s="4" t="s">
        <v>51</v>
      </c>
      <c r="Y19" s="4"/>
    </row>
    <row r="20" spans="1:25" x14ac:dyDescent="0.35">
      <c r="A20" s="8" t="s">
        <v>78</v>
      </c>
      <c r="B20" s="10" t="s">
        <v>86</v>
      </c>
      <c r="C20" s="4" t="s">
        <v>517</v>
      </c>
      <c r="D20" s="4" t="s">
        <v>155</v>
      </c>
      <c r="E20" s="4" t="s">
        <v>24</v>
      </c>
      <c r="F20" s="4" t="s">
        <v>518</v>
      </c>
      <c r="G20" s="5">
        <v>42668</v>
      </c>
      <c r="H20" s="52">
        <v>0.5</v>
      </c>
      <c r="I20" s="43">
        <v>0.51041666666666663</v>
      </c>
      <c r="J20" s="4">
        <v>15</v>
      </c>
      <c r="K20" s="43"/>
      <c r="L20" s="52">
        <v>0.5</v>
      </c>
      <c r="M20" s="43">
        <v>0.51041666666666663</v>
      </c>
      <c r="N20" s="4">
        <v>15</v>
      </c>
      <c r="O20" s="6" t="s">
        <v>115</v>
      </c>
      <c r="P20" s="4" t="s">
        <v>241</v>
      </c>
      <c r="Q20" s="4"/>
      <c r="R20" s="4"/>
      <c r="S20" s="53">
        <v>0.25</v>
      </c>
      <c r="T20" s="48">
        <v>32</v>
      </c>
      <c r="U20" s="4">
        <v>48</v>
      </c>
      <c r="V20" s="4">
        <f t="shared" si="0"/>
        <v>8</v>
      </c>
      <c r="W20" s="4">
        <f t="shared" si="1"/>
        <v>12</v>
      </c>
      <c r="X20" s="4"/>
      <c r="Y20" s="4"/>
    </row>
    <row r="21" spans="1:25" x14ac:dyDescent="0.35">
      <c r="A21" s="8" t="s">
        <v>78</v>
      </c>
      <c r="B21" s="4" t="s">
        <v>23</v>
      </c>
      <c r="C21" s="4" t="s">
        <v>517</v>
      </c>
      <c r="D21" s="4" t="s">
        <v>155</v>
      </c>
      <c r="E21" s="4" t="s">
        <v>24</v>
      </c>
      <c r="F21" s="4" t="s">
        <v>518</v>
      </c>
      <c r="G21" s="5">
        <v>42668</v>
      </c>
      <c r="H21" s="43">
        <v>0.52083333333333337</v>
      </c>
      <c r="I21" s="43">
        <v>0.52083333333333337</v>
      </c>
      <c r="J21" s="4">
        <v>10</v>
      </c>
      <c r="K21" s="43"/>
      <c r="L21" s="43">
        <v>0.52083333333333337</v>
      </c>
      <c r="M21" s="43">
        <v>0.52083333333333337</v>
      </c>
      <c r="N21" s="4">
        <v>10</v>
      </c>
      <c r="O21" s="6" t="s">
        <v>74</v>
      </c>
      <c r="P21" s="4" t="s">
        <v>215</v>
      </c>
      <c r="Q21" s="4"/>
      <c r="R21" s="4"/>
      <c r="S21" s="53">
        <v>0</v>
      </c>
      <c r="T21" s="48">
        <v>32</v>
      </c>
      <c r="U21" s="4">
        <v>48</v>
      </c>
      <c r="V21" s="4">
        <f t="shared" si="0"/>
        <v>0</v>
      </c>
      <c r="W21" s="4">
        <f t="shared" si="1"/>
        <v>0</v>
      </c>
      <c r="X21" s="4"/>
      <c r="Y21" s="4"/>
    </row>
    <row r="22" spans="1:25" x14ac:dyDescent="0.35">
      <c r="A22" s="8" t="s">
        <v>78</v>
      </c>
      <c r="B22" s="4" t="s">
        <v>23</v>
      </c>
      <c r="C22" s="4" t="s">
        <v>517</v>
      </c>
      <c r="D22" s="4" t="s">
        <v>155</v>
      </c>
      <c r="E22" s="4" t="s">
        <v>24</v>
      </c>
      <c r="F22" s="4" t="s">
        <v>518</v>
      </c>
      <c r="G22" s="5">
        <v>42668</v>
      </c>
      <c r="H22" s="43">
        <v>0.52777777777777779</v>
      </c>
      <c r="I22" s="56">
        <v>0.54861111111111116</v>
      </c>
      <c r="J22" s="4">
        <v>40</v>
      </c>
      <c r="K22" s="43"/>
      <c r="L22" s="43">
        <v>0.52777777777777779</v>
      </c>
      <c r="M22" s="56">
        <v>0.54861111111111116</v>
      </c>
      <c r="N22" s="4">
        <v>40</v>
      </c>
      <c r="O22" s="6" t="s">
        <v>74</v>
      </c>
      <c r="P22" s="4" t="s">
        <v>91</v>
      </c>
      <c r="Q22" s="4"/>
      <c r="R22" s="4"/>
      <c r="S22" s="50">
        <v>1.25</v>
      </c>
      <c r="T22" s="48">
        <v>32</v>
      </c>
      <c r="U22" s="4">
        <v>48</v>
      </c>
      <c r="V22" s="4">
        <f t="shared" si="0"/>
        <v>40</v>
      </c>
      <c r="W22" s="4">
        <f t="shared" si="1"/>
        <v>60</v>
      </c>
      <c r="X22" s="4"/>
      <c r="Y22" s="4"/>
    </row>
    <row r="23" spans="1:25" x14ac:dyDescent="0.35">
      <c r="A23" s="8" t="s">
        <v>78</v>
      </c>
      <c r="B23" s="4" t="s">
        <v>23</v>
      </c>
      <c r="C23" s="4" t="s">
        <v>64</v>
      </c>
      <c r="D23" s="4" t="s">
        <v>65</v>
      </c>
      <c r="E23" s="4" t="s">
        <v>24</v>
      </c>
      <c r="F23" s="4" t="s">
        <v>66</v>
      </c>
      <c r="G23" s="5">
        <v>42668</v>
      </c>
      <c r="H23" s="52">
        <v>0.55208333333333337</v>
      </c>
      <c r="I23" s="56">
        <v>0.5625</v>
      </c>
      <c r="J23" s="4">
        <v>15</v>
      </c>
      <c r="K23" s="43"/>
      <c r="L23" s="52">
        <v>0.55208333333333337</v>
      </c>
      <c r="M23" s="56">
        <v>0.5625</v>
      </c>
      <c r="N23" s="4">
        <v>15</v>
      </c>
      <c r="O23" s="4" t="s">
        <v>107</v>
      </c>
      <c r="P23" s="4" t="s">
        <v>523</v>
      </c>
      <c r="Q23" s="4"/>
      <c r="R23" s="4"/>
      <c r="S23" s="50">
        <v>1</v>
      </c>
      <c r="T23" s="48">
        <v>32</v>
      </c>
      <c r="U23" s="4">
        <v>48</v>
      </c>
      <c r="V23" s="4">
        <f t="shared" si="0"/>
        <v>32</v>
      </c>
      <c r="W23" s="4">
        <f t="shared" si="1"/>
        <v>48</v>
      </c>
      <c r="X23" s="4"/>
      <c r="Y23" s="4"/>
    </row>
    <row r="24" spans="1:25" x14ac:dyDescent="0.35">
      <c r="A24" s="8" t="s">
        <v>78</v>
      </c>
      <c r="B24" s="4" t="s">
        <v>23</v>
      </c>
      <c r="C24" s="4" t="s">
        <v>79</v>
      </c>
      <c r="D24" s="4" t="s">
        <v>80</v>
      </c>
      <c r="E24" s="4" t="s">
        <v>24</v>
      </c>
      <c r="F24" s="4" t="s">
        <v>81</v>
      </c>
      <c r="G24" s="5">
        <v>42668</v>
      </c>
      <c r="H24" s="52">
        <v>0.4375</v>
      </c>
      <c r="I24" s="43">
        <v>0.45833333333333331</v>
      </c>
      <c r="J24" s="4">
        <v>30</v>
      </c>
      <c r="K24" s="43"/>
      <c r="L24" s="52">
        <v>0.4375</v>
      </c>
      <c r="M24" s="43">
        <v>0.45833333333333331</v>
      </c>
      <c r="N24" s="4">
        <v>30</v>
      </c>
      <c r="O24" s="6" t="s">
        <v>179</v>
      </c>
      <c r="P24" s="4" t="s">
        <v>50</v>
      </c>
      <c r="Q24" s="4"/>
      <c r="R24" s="4"/>
      <c r="S24" s="53">
        <v>0.5</v>
      </c>
      <c r="T24" s="48">
        <v>32</v>
      </c>
      <c r="U24" s="4">
        <v>48</v>
      </c>
      <c r="V24" s="4">
        <f t="shared" si="0"/>
        <v>16</v>
      </c>
      <c r="W24" s="4">
        <f t="shared" si="1"/>
        <v>24</v>
      </c>
      <c r="X24" s="4"/>
      <c r="Y24" s="4"/>
    </row>
    <row r="25" spans="1:25" x14ac:dyDescent="0.35">
      <c r="A25" s="8" t="s">
        <v>78</v>
      </c>
      <c r="B25" s="4" t="s">
        <v>23</v>
      </c>
      <c r="C25" s="4" t="s">
        <v>79</v>
      </c>
      <c r="D25" s="4" t="s">
        <v>80</v>
      </c>
      <c r="E25" s="4" t="s">
        <v>24</v>
      </c>
      <c r="F25" s="4" t="s">
        <v>81</v>
      </c>
      <c r="G25" s="5">
        <v>42668</v>
      </c>
      <c r="H25" s="43">
        <v>0.46875</v>
      </c>
      <c r="I25" s="56">
        <v>0.5</v>
      </c>
      <c r="J25" s="4">
        <v>45</v>
      </c>
      <c r="K25" s="43"/>
      <c r="L25" s="43">
        <v>0.46875</v>
      </c>
      <c r="M25" s="56">
        <v>0.5</v>
      </c>
      <c r="N25" s="4">
        <v>45</v>
      </c>
      <c r="O25" s="4" t="s">
        <v>82</v>
      </c>
      <c r="P25" s="4" t="s">
        <v>83</v>
      </c>
      <c r="Q25" s="4"/>
      <c r="R25" s="4"/>
      <c r="S25" s="50">
        <v>1.5</v>
      </c>
      <c r="T25" s="48">
        <v>32</v>
      </c>
      <c r="U25" s="4">
        <v>48</v>
      </c>
      <c r="V25" s="4">
        <f t="shared" si="0"/>
        <v>48</v>
      </c>
      <c r="W25" s="4">
        <f t="shared" si="1"/>
        <v>72</v>
      </c>
      <c r="X25" s="4"/>
      <c r="Y25" s="4"/>
    </row>
    <row r="26" spans="1:25" x14ac:dyDescent="0.35">
      <c r="A26" s="8" t="s">
        <v>78</v>
      </c>
      <c r="B26" s="4" t="s">
        <v>23</v>
      </c>
      <c r="C26" s="4" t="s">
        <v>650</v>
      </c>
      <c r="D26" s="4" t="s">
        <v>651</v>
      </c>
      <c r="E26" s="4" t="s">
        <v>24</v>
      </c>
      <c r="F26" s="4" t="s">
        <v>652</v>
      </c>
      <c r="G26" s="5">
        <v>42669</v>
      </c>
      <c r="H26" s="52">
        <v>0.54166666666666663</v>
      </c>
      <c r="I26" s="56">
        <v>0.57638888888888895</v>
      </c>
      <c r="J26" s="4">
        <v>50</v>
      </c>
      <c r="K26" s="43"/>
      <c r="L26" s="52">
        <v>0.54166666666666663</v>
      </c>
      <c r="M26" s="56">
        <v>0.57638888888888895</v>
      </c>
      <c r="N26" s="4">
        <v>50</v>
      </c>
      <c r="O26" s="15" t="s">
        <v>133</v>
      </c>
      <c r="P26" s="4" t="s">
        <v>134</v>
      </c>
      <c r="Q26" s="4"/>
      <c r="R26" s="4"/>
      <c r="S26" s="50">
        <v>1</v>
      </c>
      <c r="T26" s="48">
        <v>32</v>
      </c>
      <c r="U26" s="4">
        <v>48</v>
      </c>
      <c r="V26" s="4">
        <f t="shared" si="0"/>
        <v>32</v>
      </c>
      <c r="W26" s="4">
        <f t="shared" si="1"/>
        <v>48</v>
      </c>
      <c r="X26" s="4"/>
      <c r="Y26" s="4"/>
    </row>
    <row r="27" spans="1:25" x14ac:dyDescent="0.35">
      <c r="A27" s="8" t="s">
        <v>78</v>
      </c>
      <c r="B27" s="4" t="s">
        <v>23</v>
      </c>
      <c r="C27" s="4" t="s">
        <v>591</v>
      </c>
      <c r="D27" s="4" t="s">
        <v>592</v>
      </c>
      <c r="E27" s="4" t="s">
        <v>24</v>
      </c>
      <c r="F27" s="4" t="s">
        <v>593</v>
      </c>
      <c r="G27" s="5">
        <v>42669</v>
      </c>
      <c r="H27" s="52">
        <v>0.39583333333333331</v>
      </c>
      <c r="I27" s="43">
        <v>0.41666666666666663</v>
      </c>
      <c r="J27" s="4">
        <v>30</v>
      </c>
      <c r="K27" s="43"/>
      <c r="L27" s="52">
        <v>0.39583333333333331</v>
      </c>
      <c r="M27" s="43">
        <v>0.41666666666666663</v>
      </c>
      <c r="N27" s="4">
        <v>30</v>
      </c>
      <c r="O27" s="6" t="s">
        <v>167</v>
      </c>
      <c r="P27" s="4" t="s">
        <v>197</v>
      </c>
      <c r="Q27" s="4"/>
      <c r="R27" s="4"/>
      <c r="S27" s="53">
        <v>0.5</v>
      </c>
      <c r="T27" s="48">
        <v>32</v>
      </c>
      <c r="U27" s="4">
        <v>48</v>
      </c>
      <c r="V27" s="4">
        <f t="shared" si="0"/>
        <v>16</v>
      </c>
      <c r="W27" s="4">
        <f t="shared" si="1"/>
        <v>24</v>
      </c>
      <c r="X27" s="4"/>
      <c r="Y27" s="4"/>
    </row>
    <row r="28" spans="1:25" x14ac:dyDescent="0.35">
      <c r="A28" s="8" t="s">
        <v>78</v>
      </c>
      <c r="B28" s="4" t="s">
        <v>23</v>
      </c>
      <c r="C28" s="4" t="s">
        <v>591</v>
      </c>
      <c r="D28" s="4" t="s">
        <v>592</v>
      </c>
      <c r="E28" s="4" t="s">
        <v>24</v>
      </c>
      <c r="F28" s="4" t="s">
        <v>593</v>
      </c>
      <c r="G28" s="5">
        <v>42669</v>
      </c>
      <c r="H28" s="45">
        <v>0.41666666666666669</v>
      </c>
      <c r="I28" s="56">
        <v>0.45833333333333337</v>
      </c>
      <c r="J28" s="4">
        <v>60</v>
      </c>
      <c r="K28" s="43"/>
      <c r="L28" s="45">
        <v>0.41666666666666669</v>
      </c>
      <c r="M28" s="56">
        <v>0.45833333333333337</v>
      </c>
      <c r="N28" s="4">
        <v>60</v>
      </c>
      <c r="O28" s="6" t="s">
        <v>167</v>
      </c>
      <c r="P28" s="4" t="s">
        <v>597</v>
      </c>
      <c r="Q28" s="4"/>
      <c r="R28" s="4"/>
      <c r="S28" s="50">
        <v>1.5</v>
      </c>
      <c r="T28" s="48">
        <v>32</v>
      </c>
      <c r="U28" s="4">
        <v>48</v>
      </c>
      <c r="V28" s="4">
        <f t="shared" si="0"/>
        <v>48</v>
      </c>
      <c r="W28" s="4">
        <f t="shared" si="1"/>
        <v>72</v>
      </c>
      <c r="X28" s="4"/>
      <c r="Y28" s="4"/>
    </row>
    <row r="29" spans="1:25" x14ac:dyDescent="0.35">
      <c r="A29" s="8" t="s">
        <v>78</v>
      </c>
      <c r="B29" s="4" t="s">
        <v>23</v>
      </c>
      <c r="C29" s="4" t="s">
        <v>607</v>
      </c>
      <c r="D29" s="4" t="s">
        <v>608</v>
      </c>
      <c r="E29" s="4" t="s">
        <v>24</v>
      </c>
      <c r="F29" s="4" t="s">
        <v>609</v>
      </c>
      <c r="G29" s="5">
        <v>42669</v>
      </c>
      <c r="H29" s="52">
        <v>0.47916666666666669</v>
      </c>
      <c r="I29" s="56">
        <v>0.5</v>
      </c>
      <c r="J29" s="4">
        <v>30</v>
      </c>
      <c r="K29" s="43"/>
      <c r="L29" s="52">
        <v>0.47916666666666669</v>
      </c>
      <c r="M29" s="56">
        <v>0.5</v>
      </c>
      <c r="N29" s="4">
        <v>30</v>
      </c>
      <c r="O29" s="4" t="s">
        <v>156</v>
      </c>
      <c r="P29" s="4" t="s">
        <v>269</v>
      </c>
      <c r="Q29" s="4"/>
      <c r="R29" s="4"/>
      <c r="S29" s="50">
        <v>1</v>
      </c>
      <c r="T29" s="48">
        <v>32</v>
      </c>
      <c r="U29" s="4">
        <v>48</v>
      </c>
      <c r="V29" s="4">
        <f t="shared" si="0"/>
        <v>32</v>
      </c>
      <c r="W29" s="4">
        <f t="shared" si="1"/>
        <v>48</v>
      </c>
      <c r="X29" s="4"/>
      <c r="Y29" s="4"/>
    </row>
    <row r="30" spans="1:25" x14ac:dyDescent="0.35">
      <c r="A30" s="8" t="s">
        <v>78</v>
      </c>
      <c r="B30" s="4" t="s">
        <v>23</v>
      </c>
      <c r="C30" s="4" t="s">
        <v>362</v>
      </c>
      <c r="D30" s="4" t="s">
        <v>283</v>
      </c>
      <c r="E30" s="4" t="s">
        <v>24</v>
      </c>
      <c r="F30" s="4" t="s">
        <v>363</v>
      </c>
      <c r="G30" s="5">
        <v>42670</v>
      </c>
      <c r="H30" s="52">
        <v>0.60416666666666663</v>
      </c>
      <c r="I30" s="43">
        <v>0.625</v>
      </c>
      <c r="J30" s="4">
        <v>30</v>
      </c>
      <c r="K30" s="43"/>
      <c r="L30" s="52">
        <v>0.60416666666666663</v>
      </c>
      <c r="M30" s="43">
        <v>0.625</v>
      </c>
      <c r="N30" s="4">
        <v>30</v>
      </c>
      <c r="O30" s="6" t="s">
        <v>49</v>
      </c>
      <c r="P30" s="4" t="s">
        <v>50</v>
      </c>
      <c r="Q30" s="4"/>
      <c r="R30" s="4"/>
      <c r="S30" s="53">
        <v>0.5</v>
      </c>
      <c r="T30" s="48">
        <v>32</v>
      </c>
      <c r="U30" s="4">
        <v>48</v>
      </c>
      <c r="V30" s="4">
        <f t="shared" si="0"/>
        <v>16</v>
      </c>
      <c r="W30" s="4">
        <f t="shared" si="1"/>
        <v>24</v>
      </c>
      <c r="X30" s="4"/>
      <c r="Y30" s="4"/>
    </row>
    <row r="31" spans="1:25" x14ac:dyDescent="0.35">
      <c r="A31" s="8" t="s">
        <v>78</v>
      </c>
      <c r="B31" s="4" t="s">
        <v>23</v>
      </c>
      <c r="C31" s="4" t="s">
        <v>362</v>
      </c>
      <c r="D31" s="4" t="s">
        <v>283</v>
      </c>
      <c r="E31" s="4" t="s">
        <v>24</v>
      </c>
      <c r="F31" s="4" t="s">
        <v>363</v>
      </c>
      <c r="G31" s="5">
        <v>42670</v>
      </c>
      <c r="H31" s="45">
        <v>0.64583333333333337</v>
      </c>
      <c r="I31" s="56">
        <v>0.70833333333333337</v>
      </c>
      <c r="J31" s="4">
        <v>90</v>
      </c>
      <c r="K31" s="43"/>
      <c r="L31" s="45">
        <v>0.64583333333333337</v>
      </c>
      <c r="M31" s="56">
        <v>0.70833333333333337</v>
      </c>
      <c r="N31" s="4">
        <v>90</v>
      </c>
      <c r="O31" s="6" t="s">
        <v>26</v>
      </c>
      <c r="P31" s="4" t="s">
        <v>376</v>
      </c>
      <c r="Q31" s="4"/>
      <c r="R31" s="4"/>
      <c r="S31" s="50">
        <v>2.5</v>
      </c>
      <c r="T31" s="48">
        <v>32</v>
      </c>
      <c r="U31" s="4">
        <v>48</v>
      </c>
      <c r="V31" s="4">
        <f t="shared" si="0"/>
        <v>80</v>
      </c>
      <c r="W31" s="4">
        <f t="shared" si="1"/>
        <v>120</v>
      </c>
      <c r="X31" s="4"/>
      <c r="Y31" s="4"/>
    </row>
    <row r="32" spans="1:25" x14ac:dyDescent="0.35">
      <c r="A32" s="8" t="s">
        <v>78</v>
      </c>
      <c r="B32" s="23" t="s">
        <v>40</v>
      </c>
      <c r="C32" s="4" t="s">
        <v>203</v>
      </c>
      <c r="D32" s="4" t="s">
        <v>204</v>
      </c>
      <c r="E32" s="4" t="s">
        <v>24</v>
      </c>
      <c r="F32" s="4" t="s">
        <v>205</v>
      </c>
      <c r="G32" s="5">
        <v>42670</v>
      </c>
      <c r="H32" s="52">
        <v>0.64583333333333337</v>
      </c>
      <c r="I32" s="56">
        <v>0.6875</v>
      </c>
      <c r="J32" s="4">
        <v>60</v>
      </c>
      <c r="K32" s="43"/>
      <c r="L32" s="52">
        <v>0.64583333333333337</v>
      </c>
      <c r="M32" s="56">
        <v>0.6875</v>
      </c>
      <c r="N32" s="4">
        <v>60</v>
      </c>
      <c r="O32" s="6" t="s">
        <v>120</v>
      </c>
      <c r="P32" s="4" t="s">
        <v>187</v>
      </c>
      <c r="Q32" s="4"/>
      <c r="R32" s="4"/>
      <c r="S32" s="50">
        <v>1</v>
      </c>
      <c r="T32" s="48">
        <v>32</v>
      </c>
      <c r="U32" s="4">
        <v>48</v>
      </c>
      <c r="V32" s="4">
        <f t="shared" si="0"/>
        <v>32</v>
      </c>
      <c r="W32" s="4">
        <f t="shared" si="1"/>
        <v>48</v>
      </c>
      <c r="X32" s="4"/>
      <c r="Y32" s="4"/>
    </row>
    <row r="33" spans="1:25" x14ac:dyDescent="0.35">
      <c r="A33" s="8" t="s">
        <v>235</v>
      </c>
      <c r="B33" s="4" t="s">
        <v>23</v>
      </c>
      <c r="C33" s="4" t="s">
        <v>494</v>
      </c>
      <c r="D33" s="4" t="s">
        <v>495</v>
      </c>
      <c r="E33" s="4" t="s">
        <v>24</v>
      </c>
      <c r="F33" s="4" t="s">
        <v>496</v>
      </c>
      <c r="G33" s="5">
        <v>42668</v>
      </c>
      <c r="H33" s="52">
        <v>0.375</v>
      </c>
      <c r="I33" s="43">
        <v>0.38541666666666669</v>
      </c>
      <c r="J33" s="4">
        <v>15</v>
      </c>
      <c r="K33" s="43"/>
      <c r="L33" s="52">
        <v>0.375</v>
      </c>
      <c r="M33" s="43">
        <v>0.38541666666666669</v>
      </c>
      <c r="N33" s="4">
        <v>15</v>
      </c>
      <c r="O33" s="6" t="s">
        <v>115</v>
      </c>
      <c r="P33" s="4" t="s">
        <v>241</v>
      </c>
      <c r="Q33" s="4"/>
      <c r="R33" s="4"/>
      <c r="S33" s="53">
        <v>0.25</v>
      </c>
      <c r="T33" s="48">
        <v>32</v>
      </c>
      <c r="U33" s="4">
        <v>48</v>
      </c>
      <c r="V33" s="4">
        <f t="shared" si="0"/>
        <v>8</v>
      </c>
      <c r="W33" s="4">
        <f t="shared" si="1"/>
        <v>12</v>
      </c>
      <c r="X33" s="4"/>
      <c r="Y33" s="4"/>
    </row>
    <row r="34" spans="1:25" x14ac:dyDescent="0.35">
      <c r="A34" s="8" t="s">
        <v>235</v>
      </c>
      <c r="B34" s="4" t="s">
        <v>23</v>
      </c>
      <c r="C34" s="4" t="s">
        <v>494</v>
      </c>
      <c r="D34" s="4" t="s">
        <v>495</v>
      </c>
      <c r="E34" s="4" t="s">
        <v>24</v>
      </c>
      <c r="F34" s="4" t="s">
        <v>496</v>
      </c>
      <c r="G34" s="5">
        <v>42668</v>
      </c>
      <c r="H34" s="45">
        <v>0.40277777777777773</v>
      </c>
      <c r="I34" s="43">
        <v>0.40972222222222215</v>
      </c>
      <c r="J34" s="4">
        <v>10</v>
      </c>
      <c r="K34" s="43"/>
      <c r="L34" s="45">
        <v>0.40277777777777773</v>
      </c>
      <c r="M34" s="43">
        <v>0.40972222222222215</v>
      </c>
      <c r="N34" s="4">
        <v>10</v>
      </c>
      <c r="O34" s="6" t="s">
        <v>74</v>
      </c>
      <c r="P34" s="4" t="s">
        <v>215</v>
      </c>
      <c r="Q34" s="4"/>
      <c r="R34" s="4"/>
      <c r="S34" s="53">
        <v>0.25</v>
      </c>
      <c r="T34" s="48">
        <v>32</v>
      </c>
      <c r="U34" s="4">
        <v>48</v>
      </c>
      <c r="V34" s="4">
        <f t="shared" si="0"/>
        <v>8</v>
      </c>
      <c r="W34" s="4">
        <f t="shared" si="1"/>
        <v>12</v>
      </c>
      <c r="X34" s="4"/>
      <c r="Y34" s="4"/>
    </row>
    <row r="35" spans="1:25" x14ac:dyDescent="0.35">
      <c r="A35" s="8" t="s">
        <v>235</v>
      </c>
      <c r="B35" s="4" t="s">
        <v>23</v>
      </c>
      <c r="C35" s="4" t="s">
        <v>494</v>
      </c>
      <c r="D35" s="4" t="s">
        <v>495</v>
      </c>
      <c r="E35" s="4" t="s">
        <v>24</v>
      </c>
      <c r="F35" s="4" t="s">
        <v>496</v>
      </c>
      <c r="G35" s="5">
        <v>42668</v>
      </c>
      <c r="H35" s="45">
        <v>0.40972222222222227</v>
      </c>
      <c r="I35" s="56">
        <v>0.43750000000000006</v>
      </c>
      <c r="J35" s="4">
        <v>40</v>
      </c>
      <c r="K35" s="43"/>
      <c r="L35" s="45">
        <v>0.40972222222222227</v>
      </c>
      <c r="M35" s="56">
        <v>0.43750000000000006</v>
      </c>
      <c r="N35" s="4">
        <v>40</v>
      </c>
      <c r="O35" s="6" t="s">
        <v>74</v>
      </c>
      <c r="P35" s="4" t="s">
        <v>91</v>
      </c>
      <c r="Q35" s="4"/>
      <c r="R35" s="4"/>
      <c r="S35" s="50">
        <v>1.5</v>
      </c>
      <c r="T35" s="48">
        <v>32</v>
      </c>
      <c r="U35" s="4">
        <v>48</v>
      </c>
      <c r="V35" s="4">
        <f t="shared" si="0"/>
        <v>48</v>
      </c>
      <c r="W35" s="4">
        <f t="shared" si="1"/>
        <v>72</v>
      </c>
      <c r="X35" s="4"/>
      <c r="Y35" s="4"/>
    </row>
    <row r="36" spans="1:25" x14ac:dyDescent="0.35">
      <c r="A36" s="8" t="s">
        <v>235</v>
      </c>
      <c r="B36" s="4" t="s">
        <v>23</v>
      </c>
      <c r="C36" s="4" t="s">
        <v>532</v>
      </c>
      <c r="D36" s="4" t="s">
        <v>533</v>
      </c>
      <c r="E36" s="4" t="s">
        <v>24</v>
      </c>
      <c r="F36" s="4" t="s">
        <v>534</v>
      </c>
      <c r="G36" s="5">
        <v>42668</v>
      </c>
      <c r="H36" s="52">
        <v>0.64583333333333337</v>
      </c>
      <c r="I36" s="56">
        <v>0.66666666666666674</v>
      </c>
      <c r="J36" s="4">
        <v>30</v>
      </c>
      <c r="K36" s="43"/>
      <c r="L36" s="52">
        <v>0.64583333333333337</v>
      </c>
      <c r="M36" s="56">
        <v>0.66666666666666674</v>
      </c>
      <c r="N36" s="4">
        <v>30</v>
      </c>
      <c r="O36" s="6" t="s">
        <v>156</v>
      </c>
      <c r="P36" s="4" t="s">
        <v>50</v>
      </c>
      <c r="Q36" s="4"/>
      <c r="R36" s="4"/>
      <c r="S36" s="50">
        <v>1</v>
      </c>
      <c r="T36" s="48">
        <v>32</v>
      </c>
      <c r="U36" s="4">
        <v>48</v>
      </c>
      <c r="V36" s="4">
        <f t="shared" si="0"/>
        <v>32</v>
      </c>
      <c r="W36" s="4">
        <f t="shared" si="1"/>
        <v>48</v>
      </c>
      <c r="X36" s="4"/>
      <c r="Y36" s="4"/>
    </row>
    <row r="37" spans="1:25" x14ac:dyDescent="0.35">
      <c r="A37" s="8" t="s">
        <v>235</v>
      </c>
      <c r="B37" s="4" t="s">
        <v>23</v>
      </c>
      <c r="C37" s="4" t="s">
        <v>696</v>
      </c>
      <c r="D37" s="4" t="s">
        <v>697</v>
      </c>
      <c r="E37" s="4" t="s">
        <v>24</v>
      </c>
      <c r="F37" s="4" t="s">
        <v>698</v>
      </c>
      <c r="G37" s="5">
        <v>42669</v>
      </c>
      <c r="H37" s="52">
        <v>0.64236111111111105</v>
      </c>
      <c r="I37" s="56">
        <v>0.66666666666666663</v>
      </c>
      <c r="J37" s="4">
        <v>35</v>
      </c>
      <c r="K37" s="43"/>
      <c r="L37" s="52">
        <v>0.64236111111111105</v>
      </c>
      <c r="M37" s="56">
        <v>0.66666666666666663</v>
      </c>
      <c r="N37" s="4">
        <v>35</v>
      </c>
      <c r="O37" s="6" t="s">
        <v>181</v>
      </c>
      <c r="P37" s="4" t="s">
        <v>239</v>
      </c>
      <c r="Q37" s="4"/>
      <c r="R37" s="4"/>
      <c r="S37" s="50">
        <v>1</v>
      </c>
      <c r="T37" s="48">
        <v>32</v>
      </c>
      <c r="U37" s="4">
        <v>48</v>
      </c>
      <c r="V37" s="4">
        <f t="shared" si="0"/>
        <v>32</v>
      </c>
      <c r="W37" s="4">
        <f t="shared" si="1"/>
        <v>48</v>
      </c>
      <c r="X37" s="4"/>
      <c r="Y37" s="4"/>
    </row>
    <row r="38" spans="1:25" x14ac:dyDescent="0.35">
      <c r="A38" s="8" t="s">
        <v>235</v>
      </c>
      <c r="B38" s="23" t="s">
        <v>40</v>
      </c>
      <c r="C38" s="4" t="s">
        <v>203</v>
      </c>
      <c r="D38" s="4" t="s">
        <v>204</v>
      </c>
      <c r="E38" s="4" t="s">
        <v>24</v>
      </c>
      <c r="F38" s="4" t="s">
        <v>205</v>
      </c>
      <c r="G38" s="5">
        <v>42669</v>
      </c>
      <c r="H38" s="52">
        <v>0.66666666666666663</v>
      </c>
      <c r="I38" s="43">
        <v>0.6875</v>
      </c>
      <c r="J38" s="4">
        <v>30</v>
      </c>
      <c r="K38" s="43"/>
      <c r="L38" s="52">
        <v>0.66666666666666663</v>
      </c>
      <c r="M38" s="43">
        <v>0.6875</v>
      </c>
      <c r="N38" s="4">
        <v>30</v>
      </c>
      <c r="O38" s="6" t="s">
        <v>49</v>
      </c>
      <c r="P38" s="4" t="s">
        <v>50</v>
      </c>
      <c r="Q38" s="4"/>
      <c r="R38" s="4"/>
      <c r="S38" s="53">
        <v>0.5</v>
      </c>
      <c r="T38" s="48">
        <v>32</v>
      </c>
      <c r="U38" s="4">
        <v>48</v>
      </c>
      <c r="V38" s="4">
        <f t="shared" si="0"/>
        <v>16</v>
      </c>
      <c r="W38" s="4">
        <f t="shared" si="1"/>
        <v>24</v>
      </c>
      <c r="X38" s="4" t="s">
        <v>51</v>
      </c>
      <c r="Y38" s="4"/>
    </row>
    <row r="39" spans="1:25" x14ac:dyDescent="0.35">
      <c r="A39" s="8" t="s">
        <v>235</v>
      </c>
      <c r="B39" s="23" t="s">
        <v>40</v>
      </c>
      <c r="C39" s="4" t="s">
        <v>203</v>
      </c>
      <c r="D39" s="4" t="s">
        <v>204</v>
      </c>
      <c r="E39" s="4" t="s">
        <v>24</v>
      </c>
      <c r="F39" s="4" t="s">
        <v>205</v>
      </c>
      <c r="G39" s="5">
        <v>42669</v>
      </c>
      <c r="H39" s="45">
        <v>0.6875</v>
      </c>
      <c r="I39" s="56">
        <v>0.70833333333333337</v>
      </c>
      <c r="J39" s="4">
        <v>30</v>
      </c>
      <c r="K39" s="43"/>
      <c r="L39" s="45">
        <v>0.6875</v>
      </c>
      <c r="M39" s="56">
        <v>0.70833333333333337</v>
      </c>
      <c r="N39" s="4">
        <v>30</v>
      </c>
      <c r="O39" s="6" t="s">
        <v>53</v>
      </c>
      <c r="P39" s="4" t="s">
        <v>63</v>
      </c>
      <c r="Q39" s="4"/>
      <c r="R39" s="4"/>
      <c r="S39" s="50">
        <v>1</v>
      </c>
      <c r="T39" s="48">
        <v>32</v>
      </c>
      <c r="U39" s="4">
        <v>48</v>
      </c>
      <c r="V39" s="4">
        <f t="shared" si="0"/>
        <v>32</v>
      </c>
      <c r="W39" s="4">
        <f t="shared" si="1"/>
        <v>48</v>
      </c>
      <c r="X39" s="4"/>
      <c r="Y39" s="4"/>
    </row>
    <row r="40" spans="1:25" x14ac:dyDescent="0.35">
      <c r="A40" s="8" t="s">
        <v>235</v>
      </c>
      <c r="B40" s="4" t="s">
        <v>23</v>
      </c>
      <c r="C40" s="4" t="s">
        <v>633</v>
      </c>
      <c r="D40" s="4" t="s">
        <v>634</v>
      </c>
      <c r="E40" s="4" t="s">
        <v>24</v>
      </c>
      <c r="F40" s="4" t="s">
        <v>635</v>
      </c>
      <c r="G40" s="5">
        <v>42669</v>
      </c>
      <c r="H40" s="52">
        <v>0.54166666666666663</v>
      </c>
      <c r="I40" s="43">
        <v>0.5625</v>
      </c>
      <c r="J40" s="4">
        <v>30</v>
      </c>
      <c r="K40" s="43"/>
      <c r="L40" s="52">
        <v>0.54166666666666663</v>
      </c>
      <c r="M40" s="43">
        <v>0.5625</v>
      </c>
      <c r="N40" s="4">
        <v>30</v>
      </c>
      <c r="O40" s="6" t="s">
        <v>461</v>
      </c>
      <c r="P40" s="4" t="s">
        <v>50</v>
      </c>
      <c r="Q40" s="4"/>
      <c r="R40" s="4"/>
      <c r="S40" s="53">
        <v>0.5</v>
      </c>
      <c r="T40" s="48">
        <v>32</v>
      </c>
      <c r="U40" s="4">
        <v>48</v>
      </c>
      <c r="V40" s="4">
        <f t="shared" si="0"/>
        <v>16</v>
      </c>
      <c r="W40" s="4">
        <f t="shared" si="1"/>
        <v>24</v>
      </c>
      <c r="X40" s="4" t="s">
        <v>654</v>
      </c>
      <c r="Y40" s="4"/>
    </row>
    <row r="41" spans="1:25" x14ac:dyDescent="0.35">
      <c r="A41" s="8" t="s">
        <v>235</v>
      </c>
      <c r="B41" s="4" t="s">
        <v>23</v>
      </c>
      <c r="C41" s="4" t="s">
        <v>633</v>
      </c>
      <c r="D41" s="4" t="s">
        <v>634</v>
      </c>
      <c r="E41" s="4" t="s">
        <v>24</v>
      </c>
      <c r="F41" s="4" t="s">
        <v>635</v>
      </c>
      <c r="G41" s="5">
        <v>42669</v>
      </c>
      <c r="H41" s="45">
        <v>0.59375</v>
      </c>
      <c r="I41" s="56">
        <v>0.60416666666666663</v>
      </c>
      <c r="J41" s="4">
        <v>15</v>
      </c>
      <c r="K41" s="43"/>
      <c r="L41" s="45">
        <v>0.59375</v>
      </c>
      <c r="M41" s="56">
        <v>0.60416666666666663</v>
      </c>
      <c r="N41" s="4">
        <v>15</v>
      </c>
      <c r="O41" s="6" t="s">
        <v>26</v>
      </c>
      <c r="P41" s="4" t="s">
        <v>372</v>
      </c>
      <c r="Q41" s="59" t="s">
        <v>809</v>
      </c>
      <c r="R41" s="4"/>
      <c r="S41" s="50">
        <v>1.5</v>
      </c>
      <c r="T41" s="48">
        <v>32</v>
      </c>
      <c r="U41" s="4">
        <v>48</v>
      </c>
      <c r="V41" s="4">
        <f t="shared" si="0"/>
        <v>48</v>
      </c>
      <c r="W41" s="4">
        <f t="shared" si="1"/>
        <v>72</v>
      </c>
      <c r="X41" s="4"/>
      <c r="Y41" s="4"/>
    </row>
    <row r="42" spans="1:25" x14ac:dyDescent="0.35">
      <c r="A42" s="8" t="s">
        <v>235</v>
      </c>
      <c r="B42" s="4" t="s">
        <v>23</v>
      </c>
      <c r="C42" s="4" t="s">
        <v>667</v>
      </c>
      <c r="D42" s="4" t="s">
        <v>668</v>
      </c>
      <c r="E42" s="4" t="s">
        <v>24</v>
      </c>
      <c r="F42" s="4" t="s">
        <v>669</v>
      </c>
      <c r="G42" s="5">
        <v>42669</v>
      </c>
      <c r="H42" s="52">
        <v>0.60416666666666663</v>
      </c>
      <c r="I42" s="56">
        <v>0.625</v>
      </c>
      <c r="J42" s="4">
        <v>30</v>
      </c>
      <c r="K42" s="43"/>
      <c r="L42" s="52">
        <v>0.60416666666666663</v>
      </c>
      <c r="M42" s="56">
        <v>0.625</v>
      </c>
      <c r="N42" s="4">
        <v>30</v>
      </c>
      <c r="O42" s="4" t="s">
        <v>291</v>
      </c>
      <c r="P42" s="4" t="s">
        <v>681</v>
      </c>
      <c r="Q42" s="4"/>
      <c r="R42" s="4"/>
      <c r="S42" s="50">
        <v>1</v>
      </c>
      <c r="T42" s="48">
        <v>32</v>
      </c>
      <c r="U42" s="4">
        <v>48</v>
      </c>
      <c r="V42" s="4">
        <f t="shared" si="0"/>
        <v>32</v>
      </c>
      <c r="W42" s="4">
        <f t="shared" si="1"/>
        <v>48</v>
      </c>
      <c r="X42" s="4"/>
      <c r="Y42" s="4"/>
    </row>
    <row r="43" spans="1:25" x14ac:dyDescent="0.35">
      <c r="A43" s="30" t="s">
        <v>235</v>
      </c>
      <c r="B43" s="4" t="s">
        <v>23</v>
      </c>
      <c r="C43" s="4" t="s">
        <v>768</v>
      </c>
      <c r="D43" s="4" t="s">
        <v>204</v>
      </c>
      <c r="E43" s="4" t="s">
        <v>24</v>
      </c>
      <c r="F43" s="4" t="s">
        <v>769</v>
      </c>
      <c r="G43" s="5">
        <v>42670</v>
      </c>
      <c r="H43" s="52">
        <v>0.60069444444444442</v>
      </c>
      <c r="I43" s="56">
        <v>0.64236111111111105</v>
      </c>
      <c r="J43" s="4">
        <v>60</v>
      </c>
      <c r="K43" s="43"/>
      <c r="L43" s="52">
        <v>0.60069444444444442</v>
      </c>
      <c r="M43" s="56">
        <v>0.64236111111111105</v>
      </c>
      <c r="N43" s="4">
        <v>60</v>
      </c>
      <c r="O43" s="4" t="s">
        <v>181</v>
      </c>
      <c r="P43" s="4" t="s">
        <v>239</v>
      </c>
      <c r="Q43" s="4"/>
      <c r="R43" s="4"/>
      <c r="S43" s="50">
        <v>1</v>
      </c>
      <c r="T43" s="48">
        <v>32</v>
      </c>
      <c r="U43" s="4">
        <v>48</v>
      </c>
      <c r="V43" s="4">
        <f t="shared" si="0"/>
        <v>32</v>
      </c>
      <c r="W43" s="4">
        <f t="shared" si="1"/>
        <v>48</v>
      </c>
      <c r="X43" s="4"/>
      <c r="Y43" s="4"/>
    </row>
    <row r="44" spans="1:25" x14ac:dyDescent="0.35">
      <c r="A44" s="8" t="s">
        <v>235</v>
      </c>
      <c r="B44" s="4" t="s">
        <v>23</v>
      </c>
      <c r="C44" s="4" t="s">
        <v>203</v>
      </c>
      <c r="D44" s="4" t="s">
        <v>204</v>
      </c>
      <c r="E44" s="4" t="s">
        <v>24</v>
      </c>
      <c r="F44" s="4" t="s">
        <v>205</v>
      </c>
      <c r="G44" s="5">
        <v>42670</v>
      </c>
      <c r="H44" s="52">
        <v>0.64583333333333337</v>
      </c>
      <c r="I44" s="56">
        <v>0.6875</v>
      </c>
      <c r="J44" s="4">
        <v>60</v>
      </c>
      <c r="K44" s="43"/>
      <c r="L44" s="52">
        <v>0.64583333333333337</v>
      </c>
      <c r="M44" s="56">
        <v>0.6875</v>
      </c>
      <c r="N44" s="4">
        <v>60</v>
      </c>
      <c r="O44" s="6" t="s">
        <v>120</v>
      </c>
      <c r="P44" s="4" t="s">
        <v>187</v>
      </c>
      <c r="Q44" s="4"/>
      <c r="R44" s="4"/>
      <c r="S44" s="50">
        <v>1</v>
      </c>
      <c r="T44" s="48">
        <v>32</v>
      </c>
      <c r="U44" s="4">
        <v>48</v>
      </c>
      <c r="V44" s="4">
        <f t="shared" si="0"/>
        <v>32</v>
      </c>
      <c r="W44" s="4">
        <f t="shared" si="1"/>
        <v>48</v>
      </c>
      <c r="X44" s="4"/>
      <c r="Y44" s="4"/>
    </row>
    <row r="45" spans="1:25" x14ac:dyDescent="0.35">
      <c r="A45" s="20" t="s">
        <v>440</v>
      </c>
      <c r="B45" s="4" t="s">
        <v>23</v>
      </c>
      <c r="C45" s="4" t="s">
        <v>113</v>
      </c>
      <c r="D45" s="4" t="s">
        <v>734</v>
      </c>
      <c r="E45" s="4" t="s">
        <v>140</v>
      </c>
      <c r="F45" s="4" t="s">
        <v>735</v>
      </c>
      <c r="G45" s="5">
        <v>42670</v>
      </c>
      <c r="H45" s="52">
        <v>0.41666666666666669</v>
      </c>
      <c r="I45" s="56">
        <v>0.4375</v>
      </c>
      <c r="J45" s="4">
        <v>30</v>
      </c>
      <c r="K45" s="43"/>
      <c r="L45" s="52">
        <v>0.41666666666666669</v>
      </c>
      <c r="M45" s="56">
        <v>0.4375</v>
      </c>
      <c r="N45" s="4">
        <v>30</v>
      </c>
      <c r="O45" s="6" t="s">
        <v>146</v>
      </c>
      <c r="P45" s="4"/>
      <c r="Q45" s="4"/>
      <c r="R45" s="4"/>
      <c r="S45" s="50">
        <v>1</v>
      </c>
      <c r="T45" s="48">
        <v>27</v>
      </c>
      <c r="U45" s="4">
        <v>48</v>
      </c>
      <c r="V45" s="4">
        <f t="shared" si="0"/>
        <v>27</v>
      </c>
      <c r="W45" s="4">
        <f t="shared" si="1"/>
        <v>48</v>
      </c>
      <c r="X45" s="4"/>
      <c r="Y45" s="4"/>
    </row>
    <row r="46" spans="1:25" x14ac:dyDescent="0.35">
      <c r="A46" s="20" t="s">
        <v>440</v>
      </c>
      <c r="B46" s="10" t="s">
        <v>40</v>
      </c>
      <c r="C46" s="4" t="s">
        <v>782</v>
      </c>
      <c r="D46" s="4" t="s">
        <v>783</v>
      </c>
      <c r="E46" s="4" t="s">
        <v>140</v>
      </c>
      <c r="F46" s="4" t="s">
        <v>784</v>
      </c>
      <c r="G46" s="5">
        <v>42670</v>
      </c>
      <c r="H46" s="52">
        <v>0.3125</v>
      </c>
      <c r="I46" s="43">
        <v>0.32291666666666669</v>
      </c>
      <c r="J46" s="4">
        <v>15</v>
      </c>
      <c r="K46" s="43"/>
      <c r="L46" s="52">
        <v>0.3125</v>
      </c>
      <c r="M46" s="43">
        <v>0.32291666666666669</v>
      </c>
      <c r="N46" s="4">
        <v>15</v>
      </c>
      <c r="O46" s="4" t="s">
        <v>138</v>
      </c>
      <c r="P46" s="4" t="s">
        <v>243</v>
      </c>
      <c r="Q46" s="4"/>
      <c r="R46" s="4"/>
      <c r="S46" s="53">
        <v>0.25</v>
      </c>
      <c r="T46" s="48">
        <v>27</v>
      </c>
      <c r="U46" s="4">
        <v>48</v>
      </c>
      <c r="V46" s="4">
        <f t="shared" si="0"/>
        <v>6.75</v>
      </c>
      <c r="W46" s="4">
        <f t="shared" si="1"/>
        <v>12</v>
      </c>
      <c r="X46" s="4"/>
      <c r="Y46" s="4"/>
    </row>
    <row r="47" spans="1:25" x14ac:dyDescent="0.35">
      <c r="A47" s="20" t="s">
        <v>440</v>
      </c>
      <c r="B47" s="10" t="s">
        <v>40</v>
      </c>
      <c r="C47" s="4" t="s">
        <v>782</v>
      </c>
      <c r="D47" s="4" t="s">
        <v>783</v>
      </c>
      <c r="E47" s="4" t="s">
        <v>140</v>
      </c>
      <c r="F47" s="4" t="s">
        <v>784</v>
      </c>
      <c r="G47" s="5">
        <v>42670</v>
      </c>
      <c r="H47" s="43">
        <v>0.33333333333333331</v>
      </c>
      <c r="I47" s="43">
        <v>0.375</v>
      </c>
      <c r="J47" s="4">
        <v>60</v>
      </c>
      <c r="K47" s="43"/>
      <c r="L47" s="43">
        <v>0.33333333333333331</v>
      </c>
      <c r="M47" s="43">
        <v>0.375</v>
      </c>
      <c r="N47" s="4">
        <v>60</v>
      </c>
      <c r="O47" s="4" t="s">
        <v>179</v>
      </c>
      <c r="P47" s="4" t="s">
        <v>147</v>
      </c>
      <c r="Q47" s="4"/>
      <c r="R47" s="4"/>
      <c r="S47" s="53">
        <v>1</v>
      </c>
      <c r="T47" s="48">
        <v>27</v>
      </c>
      <c r="U47" s="4">
        <v>48</v>
      </c>
      <c r="V47" s="4">
        <f t="shared" si="0"/>
        <v>27</v>
      </c>
      <c r="W47" s="4">
        <f t="shared" si="1"/>
        <v>48</v>
      </c>
      <c r="X47" s="4"/>
      <c r="Y47" s="4"/>
    </row>
    <row r="48" spans="1:25" x14ac:dyDescent="0.35">
      <c r="A48" s="20" t="s">
        <v>440</v>
      </c>
      <c r="B48" s="10" t="s">
        <v>40</v>
      </c>
      <c r="C48" s="4" t="s">
        <v>782</v>
      </c>
      <c r="D48" s="4" t="s">
        <v>783</v>
      </c>
      <c r="E48" s="4" t="s">
        <v>140</v>
      </c>
      <c r="F48" s="4" t="s">
        <v>784</v>
      </c>
      <c r="G48" s="5">
        <v>42670</v>
      </c>
      <c r="H48" s="43">
        <v>0.375</v>
      </c>
      <c r="I48" s="56">
        <v>0.38541666666666669</v>
      </c>
      <c r="J48" s="4">
        <v>15</v>
      </c>
      <c r="K48" s="43"/>
      <c r="L48" s="43">
        <v>0.375</v>
      </c>
      <c r="M48" s="56">
        <v>0.38541666666666669</v>
      </c>
      <c r="N48" s="4">
        <v>15</v>
      </c>
      <c r="O48" s="4" t="s">
        <v>120</v>
      </c>
      <c r="P48" s="4" t="s">
        <v>121</v>
      </c>
      <c r="Q48" s="59" t="s">
        <v>809</v>
      </c>
      <c r="R48" s="4"/>
      <c r="S48" s="50">
        <v>1.75</v>
      </c>
      <c r="T48" s="48">
        <v>27</v>
      </c>
      <c r="U48" s="4">
        <v>48</v>
      </c>
      <c r="V48" s="4">
        <f t="shared" si="0"/>
        <v>47.25</v>
      </c>
      <c r="W48" s="4">
        <f t="shared" si="1"/>
        <v>84</v>
      </c>
      <c r="X48" s="4"/>
      <c r="Y48" s="4"/>
    </row>
    <row r="49" spans="1:25" x14ac:dyDescent="0.35">
      <c r="A49" s="8" t="s">
        <v>345</v>
      </c>
      <c r="B49" s="4" t="s">
        <v>23</v>
      </c>
      <c r="C49" s="4" t="s">
        <v>340</v>
      </c>
      <c r="D49" s="4" t="s">
        <v>341</v>
      </c>
      <c r="E49" s="4" t="s">
        <v>289</v>
      </c>
      <c r="F49" s="4" t="s">
        <v>342</v>
      </c>
      <c r="G49" s="5">
        <v>42670</v>
      </c>
      <c r="H49" s="52">
        <v>0.33333333333333331</v>
      </c>
      <c r="I49" s="56">
        <v>0.41666666666666663</v>
      </c>
      <c r="J49" s="4">
        <v>120</v>
      </c>
      <c r="K49" s="43"/>
      <c r="L49" s="52">
        <v>0.33333333333333331</v>
      </c>
      <c r="M49" s="56">
        <v>0.41666666666666663</v>
      </c>
      <c r="N49" s="4">
        <v>120</v>
      </c>
      <c r="O49" s="6" t="s">
        <v>26</v>
      </c>
      <c r="P49" s="4" t="s">
        <v>175</v>
      </c>
      <c r="Q49" s="4"/>
      <c r="R49" s="4"/>
      <c r="S49" s="50">
        <v>2</v>
      </c>
      <c r="T49" s="48">
        <v>27</v>
      </c>
      <c r="U49" s="4">
        <v>48</v>
      </c>
      <c r="V49" s="4">
        <f t="shared" si="0"/>
        <v>54</v>
      </c>
      <c r="W49" s="4">
        <f t="shared" si="1"/>
        <v>96</v>
      </c>
      <c r="X49" s="4"/>
      <c r="Y49" s="4"/>
    </row>
    <row r="50" spans="1:25" x14ac:dyDescent="0.35">
      <c r="A50" s="8" t="s">
        <v>184</v>
      </c>
      <c r="B50" s="4" t="s">
        <v>23</v>
      </c>
      <c r="C50" s="4" t="s">
        <v>509</v>
      </c>
      <c r="D50" s="4" t="s">
        <v>510</v>
      </c>
      <c r="E50" s="4" t="s">
        <v>32</v>
      </c>
      <c r="F50" s="4" t="s">
        <v>511</v>
      </c>
      <c r="G50" s="5">
        <v>42668</v>
      </c>
      <c r="H50" s="52">
        <v>0.48958333333333331</v>
      </c>
      <c r="I50" s="43">
        <v>0.57291666666666663</v>
      </c>
      <c r="J50" s="4">
        <v>120</v>
      </c>
      <c r="K50" s="43"/>
      <c r="L50" s="52">
        <v>0.48958333333333331</v>
      </c>
      <c r="M50" s="43">
        <v>0.57291666666666663</v>
      </c>
      <c r="N50" s="4">
        <v>120</v>
      </c>
      <c r="O50" s="6" t="s">
        <v>115</v>
      </c>
      <c r="P50" s="4" t="s">
        <v>225</v>
      </c>
      <c r="Q50" s="4"/>
      <c r="R50" s="4"/>
      <c r="S50" s="53">
        <v>2</v>
      </c>
      <c r="T50" s="48">
        <v>30</v>
      </c>
      <c r="U50" s="4">
        <v>48</v>
      </c>
      <c r="V50" s="4">
        <f t="shared" si="0"/>
        <v>60</v>
      </c>
      <c r="W50" s="4">
        <f t="shared" si="1"/>
        <v>96</v>
      </c>
      <c r="X50" s="4"/>
      <c r="Y50" s="4"/>
    </row>
    <row r="51" spans="1:25" x14ac:dyDescent="0.35">
      <c r="A51" s="8" t="s">
        <v>184</v>
      </c>
      <c r="B51" s="4" t="s">
        <v>23</v>
      </c>
      <c r="C51" s="4" t="s">
        <v>509</v>
      </c>
      <c r="D51" s="4" t="s">
        <v>510</v>
      </c>
      <c r="E51" s="4" t="s">
        <v>32</v>
      </c>
      <c r="F51" s="4" t="s">
        <v>511</v>
      </c>
      <c r="G51" s="5">
        <v>42668</v>
      </c>
      <c r="H51" s="45">
        <v>0.5625</v>
      </c>
      <c r="I51" s="56">
        <v>0.66666666666666663</v>
      </c>
      <c r="J51" s="4">
        <v>150</v>
      </c>
      <c r="K51" s="43"/>
      <c r="L51" s="45">
        <v>0.5625</v>
      </c>
      <c r="M51" s="56">
        <v>0.66666666666666663</v>
      </c>
      <c r="N51" s="4">
        <v>150</v>
      </c>
      <c r="O51" s="6" t="s">
        <v>115</v>
      </c>
      <c r="P51" s="4" t="s">
        <v>116</v>
      </c>
      <c r="Q51" s="59" t="s">
        <v>810</v>
      </c>
      <c r="R51" s="4"/>
      <c r="S51" s="50">
        <v>4.25</v>
      </c>
      <c r="T51" s="48">
        <v>30</v>
      </c>
      <c r="U51" s="4">
        <v>48</v>
      </c>
      <c r="V51" s="4">
        <f t="shared" si="0"/>
        <v>127.5</v>
      </c>
      <c r="W51" s="4">
        <f t="shared" si="1"/>
        <v>204</v>
      </c>
      <c r="X51" s="4"/>
      <c r="Y51" s="4"/>
    </row>
    <row r="52" spans="1:25" x14ac:dyDescent="0.35">
      <c r="A52" s="8" t="s">
        <v>184</v>
      </c>
      <c r="B52" s="4" t="s">
        <v>23</v>
      </c>
      <c r="C52" s="4" t="s">
        <v>325</v>
      </c>
      <c r="D52" s="4" t="s">
        <v>326</v>
      </c>
      <c r="E52" s="4" t="s">
        <v>32</v>
      </c>
      <c r="F52" s="4" t="s">
        <v>327</v>
      </c>
      <c r="G52" s="5">
        <v>42669</v>
      </c>
      <c r="H52" s="52">
        <v>0.58333333333333337</v>
      </c>
      <c r="I52" s="56">
        <v>0.60416666666666674</v>
      </c>
      <c r="J52" s="4">
        <v>30</v>
      </c>
      <c r="K52" s="43"/>
      <c r="L52" s="52">
        <v>0.58333333333333337</v>
      </c>
      <c r="M52" s="56">
        <v>0.60416666666666674</v>
      </c>
      <c r="N52" s="4">
        <v>30</v>
      </c>
      <c r="O52" s="6" t="s">
        <v>179</v>
      </c>
      <c r="P52" s="4" t="s">
        <v>50</v>
      </c>
      <c r="Q52" s="4"/>
      <c r="R52" s="4"/>
      <c r="S52" s="50">
        <v>1</v>
      </c>
      <c r="T52" s="48">
        <v>30</v>
      </c>
      <c r="U52" s="4">
        <v>48</v>
      </c>
      <c r="V52" s="4">
        <f t="shared" si="0"/>
        <v>30</v>
      </c>
      <c r="W52" s="4">
        <f t="shared" si="1"/>
        <v>48</v>
      </c>
      <c r="X52" s="4"/>
      <c r="Y52" s="4"/>
    </row>
    <row r="53" spans="1:25" x14ac:dyDescent="0.35">
      <c r="A53" s="8" t="s">
        <v>184</v>
      </c>
      <c r="B53" s="4" t="s">
        <v>23</v>
      </c>
      <c r="C53" s="4" t="s">
        <v>743</v>
      </c>
      <c r="D53" s="4" t="s">
        <v>444</v>
      </c>
      <c r="E53" s="4" t="s">
        <v>32</v>
      </c>
      <c r="F53" s="4" t="s">
        <v>744</v>
      </c>
      <c r="G53" s="5">
        <v>42670</v>
      </c>
      <c r="H53" s="52">
        <v>0.58333333333333337</v>
      </c>
      <c r="I53" s="56">
        <v>0.60416666666666663</v>
      </c>
      <c r="J53" s="4">
        <v>30</v>
      </c>
      <c r="K53" s="43"/>
      <c r="L53" s="52">
        <v>0.58333333333333337</v>
      </c>
      <c r="M53" s="56">
        <v>0.60416666666666663</v>
      </c>
      <c r="N53" s="4">
        <v>30</v>
      </c>
      <c r="O53" s="6" t="s">
        <v>378</v>
      </c>
      <c r="P53" s="4"/>
      <c r="Q53" s="4"/>
      <c r="R53" s="4"/>
      <c r="S53" s="50">
        <v>1</v>
      </c>
      <c r="T53" s="48">
        <v>30</v>
      </c>
      <c r="U53" s="4">
        <v>48</v>
      </c>
      <c r="V53" s="4">
        <f t="shared" si="0"/>
        <v>30</v>
      </c>
      <c r="W53" s="4">
        <f t="shared" si="1"/>
        <v>48</v>
      </c>
      <c r="X53" s="4"/>
      <c r="Y53" s="4"/>
    </row>
    <row r="54" spans="1:25" x14ac:dyDescent="0.35">
      <c r="A54" s="8" t="s">
        <v>184</v>
      </c>
      <c r="B54" s="4" t="s">
        <v>23</v>
      </c>
      <c r="C54" s="4" t="s">
        <v>509</v>
      </c>
      <c r="D54" s="4" t="s">
        <v>510</v>
      </c>
      <c r="E54" s="4" t="s">
        <v>32</v>
      </c>
      <c r="F54" s="4" t="s">
        <v>511</v>
      </c>
      <c r="G54" s="5">
        <v>42670</v>
      </c>
      <c r="H54" s="52">
        <v>0.45833333333333331</v>
      </c>
      <c r="I54" s="43">
        <v>0.47916666666666663</v>
      </c>
      <c r="J54" s="4">
        <v>30</v>
      </c>
      <c r="K54" s="43"/>
      <c r="L54" s="52">
        <v>0.45833333333333331</v>
      </c>
      <c r="M54" s="43">
        <v>0.47916666666666663</v>
      </c>
      <c r="N54" s="4">
        <v>30</v>
      </c>
      <c r="O54" s="6" t="s">
        <v>179</v>
      </c>
      <c r="P54" s="4" t="s">
        <v>50</v>
      </c>
      <c r="Q54" s="4"/>
      <c r="R54" s="4"/>
      <c r="S54" s="53">
        <v>0.5</v>
      </c>
      <c r="T54" s="48">
        <v>30</v>
      </c>
      <c r="U54" s="4">
        <v>48</v>
      </c>
      <c r="V54" s="4">
        <f t="shared" si="0"/>
        <v>15</v>
      </c>
      <c r="W54" s="4">
        <f t="shared" si="1"/>
        <v>24</v>
      </c>
      <c r="X54" s="4"/>
      <c r="Y54" s="4"/>
    </row>
    <row r="55" spans="1:25" x14ac:dyDescent="0.35">
      <c r="A55" s="8" t="s">
        <v>184</v>
      </c>
      <c r="B55" s="4" t="s">
        <v>23</v>
      </c>
      <c r="C55" s="4" t="s">
        <v>509</v>
      </c>
      <c r="D55" s="4" t="s">
        <v>510</v>
      </c>
      <c r="E55" s="4" t="s">
        <v>32</v>
      </c>
      <c r="F55" s="4" t="s">
        <v>511</v>
      </c>
      <c r="G55" s="5">
        <v>42670</v>
      </c>
      <c r="H55" s="45">
        <v>0.52083333333333337</v>
      </c>
      <c r="I55" s="56">
        <v>0.58333333333333337</v>
      </c>
      <c r="J55" s="4">
        <v>90</v>
      </c>
      <c r="K55" s="43"/>
      <c r="L55" s="45">
        <v>0.52083333333333337</v>
      </c>
      <c r="M55" s="56">
        <v>0.58333333333333337</v>
      </c>
      <c r="N55" s="4">
        <v>90</v>
      </c>
      <c r="O55" s="6" t="s">
        <v>26</v>
      </c>
      <c r="P55" s="4" t="s">
        <v>192</v>
      </c>
      <c r="Q55" s="59" t="s">
        <v>809</v>
      </c>
      <c r="R55" s="4"/>
      <c r="S55" s="50">
        <v>3</v>
      </c>
      <c r="T55" s="48">
        <v>30</v>
      </c>
      <c r="U55" s="4">
        <v>48</v>
      </c>
      <c r="V55" s="4">
        <f t="shared" si="0"/>
        <v>90</v>
      </c>
      <c r="W55" s="4">
        <f t="shared" si="1"/>
        <v>144</v>
      </c>
      <c r="X55" s="4"/>
      <c r="Y55" s="4"/>
    </row>
    <row r="56" spans="1:25" x14ac:dyDescent="0.35">
      <c r="A56" s="8" t="s">
        <v>161</v>
      </c>
      <c r="B56" s="4" t="s">
        <v>23</v>
      </c>
      <c r="C56" s="4" t="s">
        <v>484</v>
      </c>
      <c r="D56" s="4" t="s">
        <v>350</v>
      </c>
      <c r="E56" s="4" t="s">
        <v>162</v>
      </c>
      <c r="F56" s="4" t="s">
        <v>485</v>
      </c>
      <c r="G56" s="5">
        <v>42668</v>
      </c>
      <c r="H56" s="52">
        <v>0.35416666666666669</v>
      </c>
      <c r="I56" s="43">
        <v>0.375</v>
      </c>
      <c r="J56" s="4">
        <v>30</v>
      </c>
      <c r="K56" s="43"/>
      <c r="L56" s="52">
        <v>0.35416666666666669</v>
      </c>
      <c r="M56" s="43">
        <v>0.375</v>
      </c>
      <c r="N56" s="4">
        <v>30</v>
      </c>
      <c r="O56" s="6" t="s">
        <v>49</v>
      </c>
      <c r="P56" s="4" t="s">
        <v>50</v>
      </c>
      <c r="Q56" s="4"/>
      <c r="R56" s="4"/>
      <c r="S56" s="53">
        <v>0.5</v>
      </c>
      <c r="T56" s="48">
        <v>30</v>
      </c>
      <c r="U56" s="4">
        <v>48</v>
      </c>
      <c r="V56" s="4">
        <f t="shared" si="0"/>
        <v>15</v>
      </c>
      <c r="W56" s="4">
        <f t="shared" si="1"/>
        <v>24</v>
      </c>
      <c r="X56" s="4"/>
      <c r="Y56" s="4"/>
    </row>
    <row r="57" spans="1:25" x14ac:dyDescent="0.35">
      <c r="A57" s="8" t="s">
        <v>161</v>
      </c>
      <c r="B57" s="4" t="s">
        <v>23</v>
      </c>
      <c r="C57" s="4" t="s">
        <v>484</v>
      </c>
      <c r="D57" s="4" t="s">
        <v>350</v>
      </c>
      <c r="E57" s="4" t="s">
        <v>162</v>
      </c>
      <c r="F57" s="4" t="s">
        <v>485</v>
      </c>
      <c r="G57" s="5">
        <v>42668</v>
      </c>
      <c r="H57" s="45">
        <v>0.41666666666666669</v>
      </c>
      <c r="I57" s="56">
        <v>0.47916666666666669</v>
      </c>
      <c r="J57" s="4">
        <v>90</v>
      </c>
      <c r="K57" s="43"/>
      <c r="L57" s="45">
        <v>0.41666666666666669</v>
      </c>
      <c r="M57" s="56">
        <v>0.47916666666666669</v>
      </c>
      <c r="N57" s="4">
        <v>90</v>
      </c>
      <c r="O57" s="6" t="s">
        <v>26</v>
      </c>
      <c r="P57" s="4" t="s">
        <v>192</v>
      </c>
      <c r="Q57" s="59" t="s">
        <v>809</v>
      </c>
      <c r="R57" s="4"/>
      <c r="S57" s="50">
        <v>3</v>
      </c>
      <c r="T57" s="48">
        <v>30</v>
      </c>
      <c r="U57" s="4">
        <v>48</v>
      </c>
      <c r="V57" s="4">
        <f t="shared" si="0"/>
        <v>90</v>
      </c>
      <c r="W57" s="4">
        <f t="shared" si="1"/>
        <v>144</v>
      </c>
      <c r="X57" s="4"/>
      <c r="Y57" s="4"/>
    </row>
    <row r="58" spans="1:25" x14ac:dyDescent="0.35">
      <c r="A58" s="8" t="s">
        <v>161</v>
      </c>
      <c r="B58" s="4" t="s">
        <v>23</v>
      </c>
      <c r="C58" s="4" t="s">
        <v>230</v>
      </c>
      <c r="D58" s="4" t="s">
        <v>231</v>
      </c>
      <c r="E58" s="4" t="s">
        <v>162</v>
      </c>
      <c r="F58" s="4" t="s">
        <v>232</v>
      </c>
      <c r="G58" s="5">
        <v>42669</v>
      </c>
      <c r="H58" s="52">
        <v>0.35416666666666669</v>
      </c>
      <c r="I58" s="56">
        <v>0.45833333333333331</v>
      </c>
      <c r="J58" s="4">
        <v>150</v>
      </c>
      <c r="K58" s="43"/>
      <c r="L58" s="52">
        <v>0.35416666666666669</v>
      </c>
      <c r="M58" s="56">
        <v>0.45833333333333331</v>
      </c>
      <c r="N58" s="4">
        <v>150</v>
      </c>
      <c r="O58" s="4" t="s">
        <v>115</v>
      </c>
      <c r="P58" s="4" t="s">
        <v>116</v>
      </c>
      <c r="Q58" s="4"/>
      <c r="R58" s="4"/>
      <c r="S58" s="50">
        <v>2.5</v>
      </c>
      <c r="T58" s="48">
        <v>30</v>
      </c>
      <c r="U58" s="4">
        <v>48</v>
      </c>
      <c r="V58" s="4">
        <f t="shared" si="0"/>
        <v>75</v>
      </c>
      <c r="W58" s="4">
        <f t="shared" si="1"/>
        <v>120</v>
      </c>
      <c r="X58" s="4"/>
      <c r="Y58" s="4"/>
    </row>
    <row r="59" spans="1:25" x14ac:dyDescent="0.35">
      <c r="A59" s="8" t="s">
        <v>161</v>
      </c>
      <c r="B59" s="4" t="s">
        <v>23</v>
      </c>
      <c r="C59" s="4" t="s">
        <v>351</v>
      </c>
      <c r="D59" s="4" t="s">
        <v>352</v>
      </c>
      <c r="E59" s="4" t="s">
        <v>162</v>
      </c>
      <c r="F59" s="4" t="s">
        <v>353</v>
      </c>
      <c r="G59" s="5">
        <v>42669</v>
      </c>
      <c r="H59" s="52">
        <v>0.63194444444444442</v>
      </c>
      <c r="I59" s="56">
        <v>0.73611111111111116</v>
      </c>
      <c r="J59" s="4">
        <v>150</v>
      </c>
      <c r="K59" s="43"/>
      <c r="L59" s="52">
        <v>0.63194444444444442</v>
      </c>
      <c r="M59" s="56">
        <v>0.73611111111111116</v>
      </c>
      <c r="N59" s="4">
        <v>150</v>
      </c>
      <c r="O59" s="6" t="s">
        <v>115</v>
      </c>
      <c r="P59" s="4" t="s">
        <v>116</v>
      </c>
      <c r="Q59" s="4"/>
      <c r="R59" s="4"/>
      <c r="S59" s="50">
        <v>2.5</v>
      </c>
      <c r="T59" s="48">
        <v>30</v>
      </c>
      <c r="U59" s="4">
        <v>48</v>
      </c>
      <c r="V59" s="4">
        <f t="shared" si="0"/>
        <v>75</v>
      </c>
      <c r="W59" s="4">
        <f t="shared" si="1"/>
        <v>120</v>
      </c>
      <c r="X59" s="4"/>
      <c r="Y59" s="4"/>
    </row>
    <row r="60" spans="1:25" x14ac:dyDescent="0.35">
      <c r="A60" s="8" t="s">
        <v>161</v>
      </c>
      <c r="B60" s="4" t="s">
        <v>23</v>
      </c>
      <c r="C60" s="4" t="s">
        <v>576</v>
      </c>
      <c r="D60" s="4" t="s">
        <v>414</v>
      </c>
      <c r="E60" s="4" t="s">
        <v>162</v>
      </c>
      <c r="F60" s="4" t="s">
        <v>577</v>
      </c>
      <c r="G60" s="5">
        <v>42669</v>
      </c>
      <c r="H60" s="52">
        <v>0.32291666666666669</v>
      </c>
      <c r="I60" s="43">
        <v>0.375</v>
      </c>
      <c r="J60" s="4">
        <v>75</v>
      </c>
      <c r="K60" s="43"/>
      <c r="L60" s="52">
        <v>0.32291666666666669</v>
      </c>
      <c r="M60" s="43">
        <v>0.375</v>
      </c>
      <c r="N60" s="4">
        <v>75</v>
      </c>
      <c r="O60" s="6" t="s">
        <v>181</v>
      </c>
      <c r="P60" s="4" t="s">
        <v>477</v>
      </c>
      <c r="Q60" s="4"/>
      <c r="R60" s="4"/>
      <c r="S60" s="53">
        <v>1.25</v>
      </c>
      <c r="T60" s="48">
        <v>30</v>
      </c>
      <c r="U60" s="4">
        <v>48</v>
      </c>
      <c r="V60" s="4">
        <f t="shared" si="0"/>
        <v>37.5</v>
      </c>
      <c r="W60" s="4">
        <f t="shared" si="1"/>
        <v>60</v>
      </c>
      <c r="X60" s="4"/>
      <c r="Y60" s="4"/>
    </row>
    <row r="61" spans="1:25" x14ac:dyDescent="0.35">
      <c r="A61" s="8" t="s">
        <v>161</v>
      </c>
      <c r="B61" s="4" t="s">
        <v>23</v>
      </c>
      <c r="C61" s="4" t="s">
        <v>576</v>
      </c>
      <c r="D61" s="4" t="s">
        <v>414</v>
      </c>
      <c r="E61" s="4" t="s">
        <v>162</v>
      </c>
      <c r="F61" s="4" t="s">
        <v>577</v>
      </c>
      <c r="G61" s="5">
        <v>42669</v>
      </c>
      <c r="H61" s="45">
        <v>0.36458333333333331</v>
      </c>
      <c r="I61" s="43">
        <v>0.41666666666666669</v>
      </c>
      <c r="J61" s="4">
        <v>75</v>
      </c>
      <c r="K61" s="43"/>
      <c r="L61" s="45">
        <v>0.36458333333333331</v>
      </c>
      <c r="M61" s="43">
        <v>0.41666666666666669</v>
      </c>
      <c r="N61" s="4">
        <v>75</v>
      </c>
      <c r="O61" s="6" t="s">
        <v>181</v>
      </c>
      <c r="P61" s="4" t="s">
        <v>477</v>
      </c>
      <c r="Q61" s="59" t="s">
        <v>810</v>
      </c>
      <c r="R61" s="4"/>
      <c r="S61" s="53">
        <v>1</v>
      </c>
      <c r="T61" s="48">
        <v>30</v>
      </c>
      <c r="U61" s="4">
        <v>48</v>
      </c>
      <c r="V61" s="4">
        <f t="shared" si="0"/>
        <v>30</v>
      </c>
      <c r="W61" s="4">
        <f t="shared" si="1"/>
        <v>48</v>
      </c>
      <c r="X61" s="4"/>
      <c r="Y61" s="4"/>
    </row>
    <row r="62" spans="1:25" x14ac:dyDescent="0.35">
      <c r="A62" s="8" t="s">
        <v>161</v>
      </c>
      <c r="B62" s="10" t="s">
        <v>86</v>
      </c>
      <c r="C62" s="4" t="s">
        <v>576</v>
      </c>
      <c r="D62" s="4" t="s">
        <v>414</v>
      </c>
      <c r="E62" s="4" t="s">
        <v>162</v>
      </c>
      <c r="F62" s="4" t="s">
        <v>577</v>
      </c>
      <c r="G62" s="5">
        <v>42669</v>
      </c>
      <c r="H62" s="45">
        <v>0.41666666666666669</v>
      </c>
      <c r="I62" s="43">
        <v>0.43055555555555558</v>
      </c>
      <c r="J62" s="4">
        <v>35</v>
      </c>
      <c r="K62" s="43"/>
      <c r="L62" s="45">
        <v>0.41666666666666669</v>
      </c>
      <c r="M62" s="43">
        <v>0.43055555555555558</v>
      </c>
      <c r="N62" s="4">
        <v>35</v>
      </c>
      <c r="O62" s="6" t="s">
        <v>181</v>
      </c>
      <c r="P62" s="4" t="s">
        <v>239</v>
      </c>
      <c r="Q62" s="4"/>
      <c r="R62" s="4"/>
      <c r="S62" s="53">
        <v>0.5</v>
      </c>
      <c r="T62" s="48">
        <v>30</v>
      </c>
      <c r="U62" s="4">
        <v>48</v>
      </c>
      <c r="V62" s="4">
        <f t="shared" si="0"/>
        <v>15</v>
      </c>
      <c r="W62" s="4">
        <f t="shared" si="1"/>
        <v>24</v>
      </c>
      <c r="X62" s="4"/>
      <c r="Y62" s="4"/>
    </row>
    <row r="63" spans="1:25" x14ac:dyDescent="0.35">
      <c r="A63" s="8" t="s">
        <v>161</v>
      </c>
      <c r="B63" s="4" t="s">
        <v>23</v>
      </c>
      <c r="C63" s="4" t="s">
        <v>576</v>
      </c>
      <c r="D63" s="4" t="s">
        <v>414</v>
      </c>
      <c r="E63" s="4" t="s">
        <v>162</v>
      </c>
      <c r="F63" s="4" t="s">
        <v>577</v>
      </c>
      <c r="G63" s="5">
        <v>42669</v>
      </c>
      <c r="H63" s="43">
        <v>0.45833333333333331</v>
      </c>
      <c r="I63" s="56">
        <v>0.47222222222222221</v>
      </c>
      <c r="J63" s="4">
        <v>20</v>
      </c>
      <c r="K63" s="43"/>
      <c r="L63" s="43">
        <v>0.45833333333333331</v>
      </c>
      <c r="M63" s="56">
        <v>0.47222222222222221</v>
      </c>
      <c r="N63" s="4">
        <v>20</v>
      </c>
      <c r="O63" s="4" t="s">
        <v>181</v>
      </c>
      <c r="P63" s="4" t="s">
        <v>239</v>
      </c>
      <c r="Q63" s="59" t="s">
        <v>809</v>
      </c>
      <c r="R63" s="4"/>
      <c r="S63" s="50">
        <v>3.75</v>
      </c>
      <c r="T63" s="48">
        <v>30</v>
      </c>
      <c r="U63" s="4">
        <v>48</v>
      </c>
      <c r="V63" s="4">
        <f t="shared" si="0"/>
        <v>112.5</v>
      </c>
      <c r="W63" s="4">
        <f t="shared" si="1"/>
        <v>180</v>
      </c>
      <c r="X63" s="4"/>
      <c r="Y63" s="4"/>
    </row>
    <row r="64" spans="1:25" x14ac:dyDescent="0.35">
      <c r="A64" s="8" t="s">
        <v>161</v>
      </c>
      <c r="B64" s="10" t="s">
        <v>40</v>
      </c>
      <c r="C64" s="4" t="s">
        <v>242</v>
      </c>
      <c r="D64" s="4" t="s">
        <v>384</v>
      </c>
      <c r="E64" s="4" t="s">
        <v>162</v>
      </c>
      <c r="F64" s="4" t="s">
        <v>385</v>
      </c>
      <c r="G64" s="5">
        <v>42670</v>
      </c>
      <c r="H64" s="52">
        <v>0.45833333333333331</v>
      </c>
      <c r="I64" s="43">
        <v>0.54166666666666663</v>
      </c>
      <c r="J64" s="4">
        <v>120</v>
      </c>
      <c r="K64" s="43"/>
      <c r="L64" s="52">
        <v>0.45833333333333331</v>
      </c>
      <c r="M64" s="43">
        <v>0.54166666666666663</v>
      </c>
      <c r="N64" s="4">
        <v>120</v>
      </c>
      <c r="O64" s="6" t="s">
        <v>26</v>
      </c>
      <c r="P64" s="4" t="s">
        <v>391</v>
      </c>
      <c r="Q64" s="4"/>
      <c r="R64" s="4"/>
      <c r="S64" s="53">
        <v>2</v>
      </c>
      <c r="T64" s="48">
        <v>30</v>
      </c>
      <c r="U64" s="4">
        <v>48</v>
      </c>
      <c r="V64" s="4">
        <f t="shared" si="0"/>
        <v>60</v>
      </c>
      <c r="W64" s="4">
        <f t="shared" si="1"/>
        <v>96</v>
      </c>
      <c r="X64" s="4"/>
      <c r="Y64" s="4"/>
    </row>
    <row r="65" spans="1:25" x14ac:dyDescent="0.35">
      <c r="A65" s="8" t="s">
        <v>161</v>
      </c>
      <c r="B65" s="4" t="s">
        <v>23</v>
      </c>
      <c r="C65" s="4" t="s">
        <v>242</v>
      </c>
      <c r="D65" s="4" t="s">
        <v>384</v>
      </c>
      <c r="E65" s="4" t="s">
        <v>162</v>
      </c>
      <c r="F65" s="4" t="s">
        <v>385</v>
      </c>
      <c r="G65" s="5">
        <v>42670</v>
      </c>
      <c r="H65" s="43">
        <v>0.5</v>
      </c>
      <c r="I65" s="56">
        <v>0.54166666666666663</v>
      </c>
      <c r="J65" s="4">
        <v>60</v>
      </c>
      <c r="K65" s="43"/>
      <c r="L65" s="43">
        <v>0.5</v>
      </c>
      <c r="M65" s="56">
        <v>0.54166666666666663</v>
      </c>
      <c r="N65" s="4">
        <v>60</v>
      </c>
      <c r="O65" s="4" t="s">
        <v>26</v>
      </c>
      <c r="P65" s="4" t="s">
        <v>596</v>
      </c>
      <c r="Q65" s="59" t="s">
        <v>810</v>
      </c>
      <c r="R65" s="4"/>
      <c r="S65" s="50">
        <v>2</v>
      </c>
      <c r="T65" s="48">
        <v>30</v>
      </c>
      <c r="U65" s="4">
        <v>48</v>
      </c>
      <c r="V65" s="4">
        <f t="shared" si="0"/>
        <v>60</v>
      </c>
      <c r="W65" s="4">
        <f t="shared" si="1"/>
        <v>96</v>
      </c>
      <c r="X65" s="4"/>
      <c r="Y65" s="4"/>
    </row>
    <row r="66" spans="1:25" x14ac:dyDescent="0.35">
      <c r="A66" s="8" t="s">
        <v>129</v>
      </c>
      <c r="B66" s="10" t="s">
        <v>86</v>
      </c>
      <c r="C66" s="4" t="s">
        <v>130</v>
      </c>
      <c r="D66" s="4" t="s">
        <v>131</v>
      </c>
      <c r="E66" s="4" t="s">
        <v>37</v>
      </c>
      <c r="F66" s="4" t="s">
        <v>132</v>
      </c>
      <c r="G66" s="5">
        <v>42668</v>
      </c>
      <c r="H66" s="52">
        <v>0.52083333333333337</v>
      </c>
      <c r="I66" s="56">
        <v>0.59027777777777779</v>
      </c>
      <c r="J66" s="4">
        <v>100</v>
      </c>
      <c r="K66" s="43"/>
      <c r="L66" s="52">
        <v>0.52083333333333337</v>
      </c>
      <c r="M66" s="56">
        <v>0.59027777777777779</v>
      </c>
      <c r="N66" s="4">
        <v>100</v>
      </c>
      <c r="O66" s="15" t="s">
        <v>133</v>
      </c>
      <c r="P66" s="4" t="s">
        <v>270</v>
      </c>
      <c r="Q66" s="4"/>
      <c r="R66" s="4"/>
      <c r="S66" s="50">
        <v>1.75</v>
      </c>
      <c r="T66" s="48">
        <v>40</v>
      </c>
      <c r="U66" s="4">
        <v>48</v>
      </c>
      <c r="V66" s="4">
        <f t="shared" ref="V66:V129" si="2">T66*S66</f>
        <v>70</v>
      </c>
      <c r="W66" s="4">
        <f t="shared" ref="W66:W129" si="3">U66*S66</f>
        <v>84</v>
      </c>
      <c r="X66" s="4" t="s">
        <v>393</v>
      </c>
      <c r="Y66" s="4"/>
    </row>
    <row r="67" spans="1:25" x14ac:dyDescent="0.35">
      <c r="A67" s="8" t="s">
        <v>129</v>
      </c>
      <c r="B67" s="4" t="s">
        <v>23</v>
      </c>
      <c r="C67" s="4" t="s">
        <v>617</v>
      </c>
      <c r="D67" s="4" t="s">
        <v>322</v>
      </c>
      <c r="E67" s="4" t="s">
        <v>37</v>
      </c>
      <c r="F67" s="4" t="s">
        <v>618</v>
      </c>
      <c r="G67" s="5">
        <v>42669</v>
      </c>
      <c r="H67" s="52">
        <v>0.4375</v>
      </c>
      <c r="I67" s="56">
        <v>0.46527777777777779</v>
      </c>
      <c r="J67" s="4">
        <v>40</v>
      </c>
      <c r="K67" s="43"/>
      <c r="L67" s="52">
        <v>0.4375</v>
      </c>
      <c r="M67" s="56">
        <v>0.46527777777777779</v>
      </c>
      <c r="N67" s="4">
        <v>40</v>
      </c>
      <c r="O67" s="15" t="s">
        <v>133</v>
      </c>
      <c r="P67" s="4" t="s">
        <v>619</v>
      </c>
      <c r="Q67" s="4"/>
      <c r="R67" s="4"/>
      <c r="S67" s="50">
        <v>1</v>
      </c>
      <c r="T67" s="48">
        <v>40</v>
      </c>
      <c r="U67" s="4">
        <v>48</v>
      </c>
      <c r="V67" s="4">
        <f t="shared" si="2"/>
        <v>40</v>
      </c>
      <c r="W67" s="4">
        <f t="shared" si="3"/>
        <v>48</v>
      </c>
      <c r="X67" s="4"/>
      <c r="Y67" s="4"/>
    </row>
    <row r="68" spans="1:25" x14ac:dyDescent="0.35">
      <c r="A68" s="8" t="s">
        <v>129</v>
      </c>
      <c r="B68" s="4" t="s">
        <v>23</v>
      </c>
      <c r="C68" s="4" t="s">
        <v>761</v>
      </c>
      <c r="D68" s="4" t="s">
        <v>762</v>
      </c>
      <c r="E68" s="4" t="s">
        <v>37</v>
      </c>
      <c r="F68" s="4" t="s">
        <v>763</v>
      </c>
      <c r="G68" s="5">
        <v>42670</v>
      </c>
      <c r="H68" s="52">
        <v>0.625</v>
      </c>
      <c r="I68" s="43">
        <v>0.64583333333333337</v>
      </c>
      <c r="J68" s="4">
        <v>30</v>
      </c>
      <c r="K68" s="43"/>
      <c r="L68" s="52">
        <v>0.625</v>
      </c>
      <c r="M68" s="43">
        <v>0.64583333333333337</v>
      </c>
      <c r="N68" s="4">
        <v>30</v>
      </c>
      <c r="O68" s="6" t="s">
        <v>49</v>
      </c>
      <c r="P68" s="4" t="s">
        <v>50</v>
      </c>
      <c r="Q68" s="4"/>
      <c r="R68" s="4"/>
      <c r="S68" s="53">
        <v>0.5</v>
      </c>
      <c r="T68" s="48">
        <v>40</v>
      </c>
      <c r="U68" s="4">
        <v>48</v>
      </c>
      <c r="V68" s="4">
        <f t="shared" si="2"/>
        <v>20</v>
      </c>
      <c r="W68" s="4">
        <f t="shared" si="3"/>
        <v>24</v>
      </c>
      <c r="X68" s="4"/>
      <c r="Y68" s="4"/>
    </row>
    <row r="69" spans="1:25" x14ac:dyDescent="0.35">
      <c r="A69" s="8" t="s">
        <v>129</v>
      </c>
      <c r="B69" s="4" t="s">
        <v>23</v>
      </c>
      <c r="C69" s="4" t="s">
        <v>761</v>
      </c>
      <c r="D69" s="4" t="s">
        <v>762</v>
      </c>
      <c r="E69" s="4" t="s">
        <v>37</v>
      </c>
      <c r="F69" s="4" t="s">
        <v>763</v>
      </c>
      <c r="G69" s="5">
        <v>42670</v>
      </c>
      <c r="H69" s="45">
        <v>0.6875</v>
      </c>
      <c r="I69" s="56">
        <v>0.75</v>
      </c>
      <c r="J69" s="4">
        <v>90</v>
      </c>
      <c r="K69" s="43"/>
      <c r="L69" s="45">
        <v>0.6875</v>
      </c>
      <c r="M69" s="56">
        <v>0.75</v>
      </c>
      <c r="N69" s="4">
        <v>90</v>
      </c>
      <c r="O69" s="6" t="s">
        <v>323</v>
      </c>
      <c r="P69" s="4" t="s">
        <v>772</v>
      </c>
      <c r="Q69" s="59" t="s">
        <v>809</v>
      </c>
      <c r="R69" s="4"/>
      <c r="S69" s="50">
        <v>3</v>
      </c>
      <c r="T69" s="48">
        <v>40</v>
      </c>
      <c r="U69" s="4">
        <v>48</v>
      </c>
      <c r="V69" s="4">
        <f t="shared" si="2"/>
        <v>120</v>
      </c>
      <c r="W69" s="4">
        <f t="shared" si="3"/>
        <v>144</v>
      </c>
      <c r="X69" s="4"/>
      <c r="Y69" s="4"/>
    </row>
    <row r="70" spans="1:25" x14ac:dyDescent="0.35">
      <c r="A70" s="8" t="s">
        <v>394</v>
      </c>
      <c r="B70" s="4" t="s">
        <v>23</v>
      </c>
      <c r="C70" s="4" t="s">
        <v>513</v>
      </c>
      <c r="D70" s="4" t="s">
        <v>514</v>
      </c>
      <c r="E70" s="4" t="s">
        <v>32</v>
      </c>
      <c r="F70" s="4" t="s">
        <v>515</v>
      </c>
      <c r="G70" s="5">
        <v>42668</v>
      </c>
      <c r="H70" s="52">
        <v>0.50694444444444442</v>
      </c>
      <c r="I70" s="43">
        <v>0.61111111111111105</v>
      </c>
      <c r="J70" s="4">
        <v>150</v>
      </c>
      <c r="K70" s="43"/>
      <c r="L70" s="52">
        <v>0.50694444444444442</v>
      </c>
      <c r="M70" s="43">
        <v>0.61111111111111105</v>
      </c>
      <c r="N70" s="4">
        <v>150</v>
      </c>
      <c r="O70" s="6" t="s">
        <v>115</v>
      </c>
      <c r="P70" s="4" t="s">
        <v>116</v>
      </c>
      <c r="Q70" s="4"/>
      <c r="R70" s="4"/>
      <c r="S70" s="53">
        <v>2.5</v>
      </c>
      <c r="T70" s="48">
        <v>25</v>
      </c>
      <c r="U70" s="4">
        <v>48</v>
      </c>
      <c r="V70" s="4">
        <f t="shared" si="2"/>
        <v>62.5</v>
      </c>
      <c r="W70" s="4">
        <f t="shared" si="3"/>
        <v>120</v>
      </c>
      <c r="X70" s="4"/>
      <c r="Y70" s="4"/>
    </row>
    <row r="71" spans="1:25" x14ac:dyDescent="0.35">
      <c r="A71" s="8" t="s">
        <v>394</v>
      </c>
      <c r="B71" s="4" t="s">
        <v>23</v>
      </c>
      <c r="C71" s="4" t="s">
        <v>513</v>
      </c>
      <c r="D71" s="4" t="s">
        <v>514</v>
      </c>
      <c r="E71" s="4" t="s">
        <v>32</v>
      </c>
      <c r="F71" s="4" t="s">
        <v>515</v>
      </c>
      <c r="G71" s="5">
        <v>42668</v>
      </c>
      <c r="H71" s="45">
        <v>0.61111111111111105</v>
      </c>
      <c r="I71" s="43">
        <v>0.61805555555555547</v>
      </c>
      <c r="J71" s="4">
        <v>10</v>
      </c>
      <c r="K71" s="43"/>
      <c r="L71" s="45">
        <v>0.61111111111111105</v>
      </c>
      <c r="M71" s="43">
        <v>0.61805555555555547</v>
      </c>
      <c r="N71" s="4">
        <v>10</v>
      </c>
      <c r="O71" s="6" t="s">
        <v>74</v>
      </c>
      <c r="P71" s="4" t="s">
        <v>215</v>
      </c>
      <c r="Q71" s="4"/>
      <c r="R71" s="4"/>
      <c r="S71" s="53">
        <v>0.25</v>
      </c>
      <c r="T71" s="48">
        <v>25</v>
      </c>
      <c r="U71" s="4">
        <v>48</v>
      </c>
      <c r="V71" s="4">
        <f t="shared" si="2"/>
        <v>6.25</v>
      </c>
      <c r="W71" s="4">
        <f t="shared" si="3"/>
        <v>12</v>
      </c>
      <c r="X71" s="4"/>
      <c r="Y71" s="4"/>
    </row>
    <row r="72" spans="1:25" x14ac:dyDescent="0.35">
      <c r="A72" s="8" t="s">
        <v>394</v>
      </c>
      <c r="B72" s="4" t="s">
        <v>23</v>
      </c>
      <c r="C72" s="4" t="s">
        <v>513</v>
      </c>
      <c r="D72" s="4" t="s">
        <v>514</v>
      </c>
      <c r="E72" s="4" t="s">
        <v>32</v>
      </c>
      <c r="F72" s="4" t="s">
        <v>515</v>
      </c>
      <c r="G72" s="5">
        <v>42668</v>
      </c>
      <c r="H72" s="45">
        <v>0.61805555555555558</v>
      </c>
      <c r="I72" s="56">
        <v>0.64583333333333337</v>
      </c>
      <c r="J72" s="4">
        <v>40</v>
      </c>
      <c r="K72" s="43"/>
      <c r="L72" s="45">
        <v>0.61805555555555558</v>
      </c>
      <c r="M72" s="56">
        <v>0.64583333333333337</v>
      </c>
      <c r="N72" s="4">
        <v>40</v>
      </c>
      <c r="O72" s="6" t="s">
        <v>74</v>
      </c>
      <c r="P72" s="4" t="s">
        <v>91</v>
      </c>
      <c r="Q72" s="4"/>
      <c r="R72" s="4"/>
      <c r="S72" s="50">
        <v>3.5</v>
      </c>
      <c r="T72" s="48">
        <v>25</v>
      </c>
      <c r="U72" s="4">
        <v>48</v>
      </c>
      <c r="V72" s="4">
        <f t="shared" si="2"/>
        <v>87.5</v>
      </c>
      <c r="W72" s="4">
        <f t="shared" si="3"/>
        <v>168</v>
      </c>
      <c r="X72" s="4"/>
      <c r="Y72" s="4"/>
    </row>
    <row r="73" spans="1:25" x14ac:dyDescent="0.35">
      <c r="A73" s="8" t="s">
        <v>394</v>
      </c>
      <c r="B73" s="10" t="s">
        <v>86</v>
      </c>
      <c r="C73" s="4" t="s">
        <v>337</v>
      </c>
      <c r="D73" s="4" t="s">
        <v>338</v>
      </c>
      <c r="E73" s="4" t="s">
        <v>32</v>
      </c>
      <c r="F73" s="4" t="s">
        <v>339</v>
      </c>
      <c r="G73" s="5">
        <v>42668</v>
      </c>
      <c r="H73" s="52">
        <v>0.41666666666666669</v>
      </c>
      <c r="I73" s="43">
        <v>0.45833333333333337</v>
      </c>
      <c r="J73" s="4">
        <v>60</v>
      </c>
      <c r="K73" s="43"/>
      <c r="L73" s="52">
        <v>0.41666666666666669</v>
      </c>
      <c r="M73" s="43">
        <v>0.45833333333333337</v>
      </c>
      <c r="N73" s="4">
        <v>60</v>
      </c>
      <c r="O73" s="6" t="s">
        <v>110</v>
      </c>
      <c r="P73" s="4" t="s">
        <v>557</v>
      </c>
      <c r="Q73" s="4"/>
      <c r="R73" s="4"/>
      <c r="S73" s="53">
        <v>1</v>
      </c>
      <c r="T73" s="48">
        <v>25</v>
      </c>
      <c r="U73" s="4">
        <v>48</v>
      </c>
      <c r="V73" s="4">
        <f t="shared" si="2"/>
        <v>25</v>
      </c>
      <c r="W73" s="4">
        <f t="shared" si="3"/>
        <v>48</v>
      </c>
      <c r="X73" s="4"/>
      <c r="Y73" s="4"/>
    </row>
    <row r="74" spans="1:25" x14ac:dyDescent="0.35">
      <c r="A74" s="8" t="s">
        <v>394</v>
      </c>
      <c r="B74" s="10" t="s">
        <v>86</v>
      </c>
      <c r="C74" s="4" t="s">
        <v>337</v>
      </c>
      <c r="D74" s="4" t="s">
        <v>338</v>
      </c>
      <c r="E74" s="4" t="s">
        <v>32</v>
      </c>
      <c r="F74" s="4" t="s">
        <v>339</v>
      </c>
      <c r="G74" s="5">
        <v>42668</v>
      </c>
      <c r="H74" s="45">
        <v>0.45833333333333331</v>
      </c>
      <c r="I74" s="56">
        <v>0.5</v>
      </c>
      <c r="J74" s="4">
        <v>60</v>
      </c>
      <c r="K74" s="43"/>
      <c r="L74" s="45">
        <v>0.45833333333333331</v>
      </c>
      <c r="M74" s="56">
        <v>0.5</v>
      </c>
      <c r="N74" s="4">
        <v>60</v>
      </c>
      <c r="O74" s="6" t="s">
        <v>120</v>
      </c>
      <c r="P74" s="4" t="s">
        <v>187</v>
      </c>
      <c r="Q74" s="4"/>
      <c r="R74" s="4"/>
      <c r="S74" s="50">
        <v>2</v>
      </c>
      <c r="T74" s="48">
        <v>25</v>
      </c>
      <c r="U74" s="4">
        <v>48</v>
      </c>
      <c r="V74" s="4">
        <f t="shared" si="2"/>
        <v>50</v>
      </c>
      <c r="W74" s="4">
        <f t="shared" si="3"/>
        <v>96</v>
      </c>
      <c r="X74" s="4"/>
      <c r="Y74" s="4"/>
    </row>
    <row r="75" spans="1:25" x14ac:dyDescent="0.35">
      <c r="A75" s="8" t="s">
        <v>394</v>
      </c>
      <c r="B75" s="4" t="s">
        <v>23</v>
      </c>
      <c r="C75" s="4" t="s">
        <v>736</v>
      </c>
      <c r="D75" s="4" t="s">
        <v>737</v>
      </c>
      <c r="E75" s="4" t="s">
        <v>32</v>
      </c>
      <c r="F75" s="4" t="s">
        <v>738</v>
      </c>
      <c r="G75" s="5">
        <v>42670</v>
      </c>
      <c r="H75" s="52">
        <v>0.41666666666666669</v>
      </c>
      <c r="I75" s="43">
        <v>0.45833333333333331</v>
      </c>
      <c r="J75" s="4">
        <v>60</v>
      </c>
      <c r="K75" s="43"/>
      <c r="L75" s="52">
        <v>0.41666666666666669</v>
      </c>
      <c r="M75" s="43">
        <v>0.45833333333333331</v>
      </c>
      <c r="N75" s="4">
        <v>60</v>
      </c>
      <c r="O75" s="6" t="s">
        <v>146</v>
      </c>
      <c r="P75" s="4"/>
      <c r="Q75" s="4"/>
      <c r="R75" s="4"/>
      <c r="S75" s="53">
        <v>1</v>
      </c>
      <c r="T75" s="48">
        <v>25</v>
      </c>
      <c r="U75" s="4">
        <v>48</v>
      </c>
      <c r="V75" s="4">
        <f t="shared" si="2"/>
        <v>25</v>
      </c>
      <c r="W75" s="4">
        <f t="shared" si="3"/>
        <v>48</v>
      </c>
      <c r="X75" s="4"/>
      <c r="Y75" s="4"/>
    </row>
    <row r="76" spans="1:25" x14ac:dyDescent="0.35">
      <c r="A76" s="8" t="s">
        <v>394</v>
      </c>
      <c r="B76" s="4" t="s">
        <v>23</v>
      </c>
      <c r="C76" s="4" t="s">
        <v>736</v>
      </c>
      <c r="D76" s="4" t="s">
        <v>737</v>
      </c>
      <c r="E76" s="4" t="s">
        <v>32</v>
      </c>
      <c r="F76" s="4" t="s">
        <v>738</v>
      </c>
      <c r="G76" s="5">
        <v>42670</v>
      </c>
      <c r="H76" s="43">
        <v>0.45833333333333331</v>
      </c>
      <c r="I76" s="56">
        <v>0.47916666666666669</v>
      </c>
      <c r="J76" s="4">
        <v>30</v>
      </c>
      <c r="K76" s="43"/>
      <c r="L76" s="43">
        <v>0.45833333333333331</v>
      </c>
      <c r="M76" s="56">
        <v>0.47916666666666669</v>
      </c>
      <c r="N76" s="4">
        <v>30</v>
      </c>
      <c r="O76" s="6" t="s">
        <v>146</v>
      </c>
      <c r="P76" s="4"/>
      <c r="Q76" s="4"/>
      <c r="R76" s="4"/>
      <c r="S76" s="50">
        <v>1.5</v>
      </c>
      <c r="T76" s="48">
        <v>25</v>
      </c>
      <c r="U76" s="4">
        <v>48</v>
      </c>
      <c r="V76" s="4">
        <f t="shared" si="2"/>
        <v>37.5</v>
      </c>
      <c r="W76" s="4">
        <f t="shared" si="3"/>
        <v>72</v>
      </c>
      <c r="X76" s="4"/>
      <c r="Y76" s="4"/>
    </row>
    <row r="77" spans="1:25" x14ac:dyDescent="0.35">
      <c r="A77" s="8" t="s">
        <v>29</v>
      </c>
      <c r="B77" s="10" t="s">
        <v>86</v>
      </c>
      <c r="C77" s="4" t="s">
        <v>559</v>
      </c>
      <c r="D77" s="4" t="s">
        <v>560</v>
      </c>
      <c r="E77" s="4" t="s">
        <v>32</v>
      </c>
      <c r="F77" s="4" t="s">
        <v>561</v>
      </c>
      <c r="G77" s="5">
        <v>42668</v>
      </c>
      <c r="H77" s="52">
        <v>0.5</v>
      </c>
      <c r="I77" s="56">
        <v>0.54166666666666663</v>
      </c>
      <c r="J77" s="4">
        <v>60</v>
      </c>
      <c r="K77" s="43"/>
      <c r="L77" s="52">
        <v>0.5</v>
      </c>
      <c r="M77" s="56">
        <v>0.54166666666666663</v>
      </c>
      <c r="N77" s="4">
        <v>60</v>
      </c>
      <c r="O77" s="4" t="s">
        <v>562</v>
      </c>
      <c r="P77" s="4" t="s">
        <v>563</v>
      </c>
      <c r="Q77" s="4"/>
      <c r="R77" s="4"/>
      <c r="S77" s="50">
        <v>1</v>
      </c>
      <c r="T77" s="48">
        <v>25</v>
      </c>
      <c r="U77" s="4">
        <v>48</v>
      </c>
      <c r="V77" s="4">
        <f t="shared" si="2"/>
        <v>25</v>
      </c>
      <c r="W77" s="4">
        <f t="shared" si="3"/>
        <v>48</v>
      </c>
      <c r="X77" s="4" t="s">
        <v>51</v>
      </c>
      <c r="Y77" s="4"/>
    </row>
    <row r="78" spans="1:25" x14ac:dyDescent="0.35">
      <c r="A78" s="8" t="s">
        <v>29</v>
      </c>
      <c r="B78" s="4" t="s">
        <v>23</v>
      </c>
      <c r="C78" s="4" t="s">
        <v>525</v>
      </c>
      <c r="D78" s="4" t="s">
        <v>526</v>
      </c>
      <c r="E78" s="4" t="s">
        <v>32</v>
      </c>
      <c r="F78" s="4" t="s">
        <v>527</v>
      </c>
      <c r="G78" s="5">
        <v>42668</v>
      </c>
      <c r="H78" s="52">
        <v>0.5625</v>
      </c>
      <c r="I78" s="43">
        <v>0.57291666666666663</v>
      </c>
      <c r="J78" s="4">
        <v>15</v>
      </c>
      <c r="K78" s="43"/>
      <c r="L78" s="52">
        <v>0.5625</v>
      </c>
      <c r="M78" s="43">
        <v>0.57291666666666663</v>
      </c>
      <c r="N78" s="4">
        <v>15</v>
      </c>
      <c r="O78" s="6" t="s">
        <v>115</v>
      </c>
      <c r="P78" s="4" t="s">
        <v>241</v>
      </c>
      <c r="Q78" s="4"/>
      <c r="R78" s="4"/>
      <c r="S78" s="53">
        <v>0.25</v>
      </c>
      <c r="T78" s="48">
        <v>25</v>
      </c>
      <c r="U78" s="4">
        <v>48</v>
      </c>
      <c r="V78" s="4">
        <f t="shared" si="2"/>
        <v>6.25</v>
      </c>
      <c r="W78" s="4">
        <f t="shared" si="3"/>
        <v>12</v>
      </c>
      <c r="X78" s="4"/>
      <c r="Y78" s="4"/>
    </row>
    <row r="79" spans="1:25" x14ac:dyDescent="0.35">
      <c r="A79" s="8" t="s">
        <v>29</v>
      </c>
      <c r="B79" s="4" t="s">
        <v>23</v>
      </c>
      <c r="C79" s="4" t="s">
        <v>525</v>
      </c>
      <c r="D79" s="4" t="s">
        <v>526</v>
      </c>
      <c r="E79" s="4" t="s">
        <v>32</v>
      </c>
      <c r="F79" s="4" t="s">
        <v>527</v>
      </c>
      <c r="G79" s="5">
        <v>42668</v>
      </c>
      <c r="H79" s="45">
        <v>0.58333333333333337</v>
      </c>
      <c r="I79" s="43">
        <v>0.59027777777777779</v>
      </c>
      <c r="J79" s="4">
        <v>10</v>
      </c>
      <c r="K79" s="43"/>
      <c r="L79" s="45">
        <v>0.58333333333333337</v>
      </c>
      <c r="M79" s="43">
        <v>0.59027777777777779</v>
      </c>
      <c r="N79" s="4">
        <v>10</v>
      </c>
      <c r="O79" s="6" t="s">
        <v>74</v>
      </c>
      <c r="P79" s="4" t="s">
        <v>215</v>
      </c>
      <c r="Q79" s="4"/>
      <c r="R79" s="4"/>
      <c r="S79" s="53">
        <v>0.25</v>
      </c>
      <c r="T79" s="48">
        <v>25</v>
      </c>
      <c r="U79" s="4">
        <v>48</v>
      </c>
      <c r="V79" s="4">
        <f t="shared" si="2"/>
        <v>6.25</v>
      </c>
      <c r="W79" s="4">
        <f t="shared" si="3"/>
        <v>12</v>
      </c>
      <c r="X79" s="4"/>
      <c r="Y79" s="4"/>
    </row>
    <row r="80" spans="1:25" x14ac:dyDescent="0.35">
      <c r="A80" s="8" t="s">
        <v>29</v>
      </c>
      <c r="B80" s="4" t="s">
        <v>23</v>
      </c>
      <c r="C80" s="4" t="s">
        <v>525</v>
      </c>
      <c r="D80" s="4" t="s">
        <v>526</v>
      </c>
      <c r="E80" s="4" t="s">
        <v>32</v>
      </c>
      <c r="F80" s="4" t="s">
        <v>527</v>
      </c>
      <c r="G80" s="5">
        <v>42668</v>
      </c>
      <c r="H80" s="43">
        <v>0.59722222222222221</v>
      </c>
      <c r="I80" s="56">
        <v>0.625</v>
      </c>
      <c r="J80" s="4">
        <v>40</v>
      </c>
      <c r="K80" s="43"/>
      <c r="L80" s="43">
        <v>0.59722222222222221</v>
      </c>
      <c r="M80" s="56">
        <v>0.625</v>
      </c>
      <c r="N80" s="4">
        <v>40</v>
      </c>
      <c r="O80" s="6" t="s">
        <v>74</v>
      </c>
      <c r="P80" s="4" t="s">
        <v>91</v>
      </c>
      <c r="Q80" s="4"/>
      <c r="R80" s="4"/>
      <c r="S80" s="50">
        <v>1.5</v>
      </c>
      <c r="T80" s="48">
        <v>25</v>
      </c>
      <c r="U80" s="4">
        <v>48</v>
      </c>
      <c r="V80" s="4">
        <f t="shared" si="2"/>
        <v>37.5</v>
      </c>
      <c r="W80" s="4">
        <f t="shared" si="3"/>
        <v>72</v>
      </c>
      <c r="X80" s="4"/>
      <c r="Y80" s="4"/>
    </row>
    <row r="81" spans="1:25" x14ac:dyDescent="0.35">
      <c r="A81" s="8" t="s">
        <v>29</v>
      </c>
      <c r="B81" s="4" t="s">
        <v>23</v>
      </c>
      <c r="C81" s="4" t="s">
        <v>656</v>
      </c>
      <c r="D81" s="4" t="s">
        <v>657</v>
      </c>
      <c r="E81" s="4" t="s">
        <v>32</v>
      </c>
      <c r="F81" s="4" t="s">
        <v>658</v>
      </c>
      <c r="G81" s="5">
        <v>42669</v>
      </c>
      <c r="H81" s="52">
        <v>0.5625</v>
      </c>
      <c r="I81" s="43">
        <v>0.57291666666666663</v>
      </c>
      <c r="J81" s="4">
        <v>15</v>
      </c>
      <c r="K81" s="43"/>
      <c r="L81" s="52">
        <v>0.5625</v>
      </c>
      <c r="M81" s="43">
        <v>0.57291666666666663</v>
      </c>
      <c r="N81" s="4">
        <v>15</v>
      </c>
      <c r="O81" s="6" t="s">
        <v>138</v>
      </c>
      <c r="P81" s="4" t="s">
        <v>243</v>
      </c>
      <c r="Q81" s="4"/>
      <c r="R81" s="4"/>
      <c r="S81" s="53">
        <v>0.25</v>
      </c>
      <c r="T81" s="48">
        <v>25</v>
      </c>
      <c r="U81" s="4">
        <v>48</v>
      </c>
      <c r="V81" s="4">
        <f t="shared" si="2"/>
        <v>6.25</v>
      </c>
      <c r="W81" s="4">
        <f t="shared" si="3"/>
        <v>12</v>
      </c>
      <c r="X81" s="4"/>
      <c r="Y81" s="4"/>
    </row>
    <row r="82" spans="1:25" x14ac:dyDescent="0.35">
      <c r="A82" s="8" t="s">
        <v>29</v>
      </c>
      <c r="B82" s="4" t="s">
        <v>23</v>
      </c>
      <c r="C82" s="4" t="s">
        <v>656</v>
      </c>
      <c r="D82" s="4" t="s">
        <v>657</v>
      </c>
      <c r="E82" s="4" t="s">
        <v>32</v>
      </c>
      <c r="F82" s="4" t="s">
        <v>658</v>
      </c>
      <c r="G82" s="5">
        <v>42669</v>
      </c>
      <c r="H82" s="45">
        <v>0.58333333333333337</v>
      </c>
      <c r="I82" s="56">
        <v>0.625</v>
      </c>
      <c r="J82" s="4">
        <v>60</v>
      </c>
      <c r="K82" s="43"/>
      <c r="L82" s="45">
        <v>0.58333333333333337</v>
      </c>
      <c r="M82" s="56">
        <v>0.625</v>
      </c>
      <c r="N82" s="4">
        <v>60</v>
      </c>
      <c r="O82" s="6" t="s">
        <v>156</v>
      </c>
      <c r="P82" s="4" t="s">
        <v>147</v>
      </c>
      <c r="Q82" s="4"/>
      <c r="R82" s="4"/>
      <c r="S82" s="50">
        <v>1.5</v>
      </c>
      <c r="T82" s="48">
        <v>25</v>
      </c>
      <c r="U82" s="4">
        <v>48</v>
      </c>
      <c r="V82" s="4">
        <f t="shared" si="2"/>
        <v>37.5</v>
      </c>
      <c r="W82" s="4">
        <f t="shared" si="3"/>
        <v>72</v>
      </c>
      <c r="X82" s="4"/>
      <c r="Y82" s="4"/>
    </row>
    <row r="83" spans="1:25" x14ac:dyDescent="0.35">
      <c r="A83" s="8" t="s">
        <v>29</v>
      </c>
      <c r="B83" s="4" t="s">
        <v>23</v>
      </c>
      <c r="C83" s="4" t="s">
        <v>30</v>
      </c>
      <c r="D83" s="4" t="s">
        <v>31</v>
      </c>
      <c r="E83" s="4" t="s">
        <v>32</v>
      </c>
      <c r="F83" s="4" t="s">
        <v>33</v>
      </c>
      <c r="G83" s="5">
        <v>42670</v>
      </c>
      <c r="H83" s="52">
        <v>0.5625</v>
      </c>
      <c r="I83" s="43">
        <v>0.58333333333333337</v>
      </c>
      <c r="J83" s="4">
        <v>30</v>
      </c>
      <c r="K83" s="43"/>
      <c r="L83" s="52">
        <v>0.5625</v>
      </c>
      <c r="M83" s="43">
        <v>0.58333333333333337</v>
      </c>
      <c r="N83" s="4">
        <v>30</v>
      </c>
      <c r="O83" s="6" t="s">
        <v>107</v>
      </c>
      <c r="P83" s="4" t="s">
        <v>108</v>
      </c>
      <c r="Q83" s="4"/>
      <c r="R83" s="4"/>
      <c r="S83" s="53">
        <v>0.5</v>
      </c>
      <c r="T83" s="48">
        <v>25</v>
      </c>
      <c r="U83" s="4">
        <v>48</v>
      </c>
      <c r="V83" s="4">
        <f t="shared" si="2"/>
        <v>12.5</v>
      </c>
      <c r="W83" s="4">
        <f t="shared" si="3"/>
        <v>24</v>
      </c>
      <c r="X83" s="4"/>
      <c r="Y83" s="4"/>
    </row>
    <row r="84" spans="1:25" x14ac:dyDescent="0.35">
      <c r="A84" s="8" t="s">
        <v>29</v>
      </c>
      <c r="B84" s="4" t="s">
        <v>23</v>
      </c>
      <c r="C84" s="4" t="s">
        <v>30</v>
      </c>
      <c r="D84" s="4" t="s">
        <v>31</v>
      </c>
      <c r="E84" s="4" t="s">
        <v>32</v>
      </c>
      <c r="F84" s="4" t="s">
        <v>33</v>
      </c>
      <c r="G84" s="5">
        <v>42670</v>
      </c>
      <c r="H84" s="45">
        <v>0.58333333333333337</v>
      </c>
      <c r="I84" s="56">
        <v>0.61458333333333337</v>
      </c>
      <c r="J84" s="4">
        <v>45</v>
      </c>
      <c r="K84" s="43"/>
      <c r="L84" s="45">
        <v>0.58333333333333337</v>
      </c>
      <c r="M84" s="56">
        <v>0.61458333333333337</v>
      </c>
      <c r="N84" s="4">
        <v>45</v>
      </c>
      <c r="O84" s="6" t="s">
        <v>190</v>
      </c>
      <c r="P84" s="4" t="s">
        <v>380</v>
      </c>
      <c r="Q84" s="4"/>
      <c r="R84" s="4"/>
      <c r="S84" s="50">
        <v>1.25</v>
      </c>
      <c r="T84" s="48">
        <v>25</v>
      </c>
      <c r="U84" s="4">
        <v>48</v>
      </c>
      <c r="V84" s="4">
        <f t="shared" si="2"/>
        <v>31.25</v>
      </c>
      <c r="W84" s="4">
        <f t="shared" si="3"/>
        <v>60</v>
      </c>
      <c r="X84" s="4"/>
      <c r="Y84" s="4"/>
    </row>
    <row r="85" spans="1:25" x14ac:dyDescent="0.35">
      <c r="A85" s="8" t="s">
        <v>29</v>
      </c>
      <c r="B85" s="23" t="s">
        <v>40</v>
      </c>
      <c r="C85" s="4" t="s">
        <v>337</v>
      </c>
      <c r="D85" s="4" t="s">
        <v>338</v>
      </c>
      <c r="E85" s="4" t="s">
        <v>32</v>
      </c>
      <c r="F85" s="4" t="s">
        <v>339</v>
      </c>
      <c r="G85" s="5">
        <v>42670</v>
      </c>
      <c r="H85" s="52">
        <v>0.52777777777777779</v>
      </c>
      <c r="I85" s="56">
        <v>0.63194444444444442</v>
      </c>
      <c r="J85" s="4">
        <v>150</v>
      </c>
      <c r="K85" s="43"/>
      <c r="L85" s="52">
        <v>0.52777777777777779</v>
      </c>
      <c r="M85" s="56">
        <v>0.63194444444444442</v>
      </c>
      <c r="N85" s="4">
        <v>150</v>
      </c>
      <c r="O85" s="6" t="s">
        <v>115</v>
      </c>
      <c r="P85" s="4" t="s">
        <v>228</v>
      </c>
      <c r="Q85" s="4"/>
      <c r="R85" s="4"/>
      <c r="S85" s="50">
        <v>2.5</v>
      </c>
      <c r="T85" s="48">
        <v>25</v>
      </c>
      <c r="U85" s="4">
        <v>48</v>
      </c>
      <c r="V85" s="4">
        <f t="shared" si="2"/>
        <v>62.5</v>
      </c>
      <c r="W85" s="4">
        <f t="shared" si="3"/>
        <v>120</v>
      </c>
      <c r="X85" s="4"/>
      <c r="Y85" s="4"/>
    </row>
    <row r="86" spans="1:25" x14ac:dyDescent="0.35">
      <c r="A86" s="8" t="s">
        <v>57</v>
      </c>
      <c r="B86" s="4" t="s">
        <v>23</v>
      </c>
      <c r="C86" s="4" t="s">
        <v>458</v>
      </c>
      <c r="D86" s="4" t="s">
        <v>459</v>
      </c>
      <c r="E86" s="4" t="s">
        <v>24</v>
      </c>
      <c r="F86" s="4" t="s">
        <v>267</v>
      </c>
      <c r="G86" s="5">
        <v>42668</v>
      </c>
      <c r="H86" s="52">
        <v>0.41666666666666669</v>
      </c>
      <c r="I86" s="43">
        <v>0.45833333333333337</v>
      </c>
      <c r="J86" s="4">
        <v>60</v>
      </c>
      <c r="K86" s="43"/>
      <c r="L86" s="52">
        <v>0.41666666666666669</v>
      </c>
      <c r="M86" s="43">
        <v>0.45833333333333337</v>
      </c>
      <c r="N86" s="4">
        <v>60</v>
      </c>
      <c r="O86" s="4" t="s">
        <v>347</v>
      </c>
      <c r="P86" s="4" t="s">
        <v>497</v>
      </c>
      <c r="Q86" s="4"/>
      <c r="R86" s="4"/>
      <c r="S86" s="53">
        <v>1</v>
      </c>
      <c r="T86" s="48">
        <v>28</v>
      </c>
      <c r="U86" s="4">
        <v>48</v>
      </c>
      <c r="V86" s="4">
        <f t="shared" si="2"/>
        <v>28</v>
      </c>
      <c r="W86" s="4">
        <f t="shared" si="3"/>
        <v>48</v>
      </c>
      <c r="X86" s="4"/>
      <c r="Y86" s="4"/>
    </row>
    <row r="87" spans="1:25" x14ac:dyDescent="0.35">
      <c r="A87" s="8" t="s">
        <v>57</v>
      </c>
      <c r="B87" s="4" t="s">
        <v>23</v>
      </c>
      <c r="C87" s="4" t="s">
        <v>458</v>
      </c>
      <c r="D87" s="4" t="s">
        <v>459</v>
      </c>
      <c r="E87" s="4" t="s">
        <v>24</v>
      </c>
      <c r="F87" s="4" t="s">
        <v>267</v>
      </c>
      <c r="G87" s="5">
        <v>42668</v>
      </c>
      <c r="H87" s="43">
        <v>0.45833333333333331</v>
      </c>
      <c r="I87" s="43">
        <v>0.5</v>
      </c>
      <c r="J87" s="4">
        <v>60</v>
      </c>
      <c r="K87" s="43"/>
      <c r="L87" s="43">
        <v>0.45833333333333331</v>
      </c>
      <c r="M87" s="43">
        <v>0.5</v>
      </c>
      <c r="N87" s="4">
        <v>60</v>
      </c>
      <c r="O87" s="4" t="s">
        <v>107</v>
      </c>
      <c r="P87" s="4" t="s">
        <v>505</v>
      </c>
      <c r="Q87" s="4"/>
      <c r="R87" s="4"/>
      <c r="S87" s="53">
        <v>1</v>
      </c>
      <c r="T87" s="48">
        <v>28</v>
      </c>
      <c r="U87" s="4">
        <v>48</v>
      </c>
      <c r="V87" s="4">
        <f t="shared" si="2"/>
        <v>28</v>
      </c>
      <c r="W87" s="4">
        <f t="shared" si="3"/>
        <v>48</v>
      </c>
      <c r="X87" s="4"/>
      <c r="Y87" s="4"/>
    </row>
    <row r="88" spans="1:25" x14ac:dyDescent="0.35">
      <c r="A88" s="8" t="s">
        <v>57</v>
      </c>
      <c r="B88" s="4" t="s">
        <v>23</v>
      </c>
      <c r="C88" s="4" t="s">
        <v>458</v>
      </c>
      <c r="D88" s="4" t="s">
        <v>459</v>
      </c>
      <c r="E88" s="4" t="s">
        <v>24</v>
      </c>
      <c r="F88" s="4" t="s">
        <v>267</v>
      </c>
      <c r="G88" s="5">
        <v>42668</v>
      </c>
      <c r="H88" s="43">
        <v>0.53125</v>
      </c>
      <c r="I88" s="43">
        <v>0.54166666666666663</v>
      </c>
      <c r="J88" s="4">
        <v>15</v>
      </c>
      <c r="K88" s="43"/>
      <c r="L88" s="43">
        <v>0.53125</v>
      </c>
      <c r="M88" s="43">
        <v>0.54166666666666663</v>
      </c>
      <c r="N88" s="4">
        <v>15</v>
      </c>
      <c r="O88" s="4" t="s">
        <v>25</v>
      </c>
      <c r="P88" s="4" t="s">
        <v>361</v>
      </c>
      <c r="Q88" s="59" t="s">
        <v>809</v>
      </c>
      <c r="R88" s="4"/>
      <c r="S88" s="53">
        <v>0.25</v>
      </c>
      <c r="T88" s="48">
        <v>28</v>
      </c>
      <c r="U88" s="4">
        <v>48</v>
      </c>
      <c r="V88" s="4">
        <f t="shared" si="2"/>
        <v>7</v>
      </c>
      <c r="W88" s="4">
        <f t="shared" si="3"/>
        <v>12</v>
      </c>
      <c r="X88" s="4" t="s">
        <v>117</v>
      </c>
      <c r="Y88" s="4"/>
    </row>
    <row r="89" spans="1:25" x14ac:dyDescent="0.35">
      <c r="A89" s="8" t="s">
        <v>57</v>
      </c>
      <c r="B89" s="4" t="s">
        <v>23</v>
      </c>
      <c r="C89" s="4" t="s">
        <v>458</v>
      </c>
      <c r="D89" s="4" t="s">
        <v>459</v>
      </c>
      <c r="E89" s="4" t="s">
        <v>24</v>
      </c>
      <c r="F89" s="4" t="s">
        <v>267</v>
      </c>
      <c r="G89" s="5">
        <v>42668</v>
      </c>
      <c r="H89" s="43">
        <v>0.57291666666666663</v>
      </c>
      <c r="I89" s="43">
        <v>0.58333333333333337</v>
      </c>
      <c r="J89" s="4">
        <v>15</v>
      </c>
      <c r="K89" s="43"/>
      <c r="L89" s="43">
        <v>0.57291666666666663</v>
      </c>
      <c r="M89" s="43">
        <v>0.58333333333333337</v>
      </c>
      <c r="N89" s="4">
        <v>15</v>
      </c>
      <c r="O89" s="4" t="s">
        <v>107</v>
      </c>
      <c r="P89" s="4" t="s">
        <v>529</v>
      </c>
      <c r="Q89" s="59" t="s">
        <v>809</v>
      </c>
      <c r="R89" s="4"/>
      <c r="S89" s="53">
        <v>0.25</v>
      </c>
      <c r="T89" s="48">
        <v>28</v>
      </c>
      <c r="U89" s="4">
        <v>48</v>
      </c>
      <c r="V89" s="4">
        <f t="shared" si="2"/>
        <v>7</v>
      </c>
      <c r="W89" s="4">
        <f t="shared" si="3"/>
        <v>12</v>
      </c>
      <c r="X89" s="4"/>
      <c r="Y89" s="4"/>
    </row>
    <row r="90" spans="1:25" x14ac:dyDescent="0.35">
      <c r="A90" s="8" t="s">
        <v>57</v>
      </c>
      <c r="B90" s="4" t="s">
        <v>23</v>
      </c>
      <c r="C90" s="4" t="s">
        <v>458</v>
      </c>
      <c r="D90" s="4" t="s">
        <v>459</v>
      </c>
      <c r="E90" s="4" t="s">
        <v>24</v>
      </c>
      <c r="F90" s="4" t="s">
        <v>267</v>
      </c>
      <c r="G90" s="5">
        <v>42668</v>
      </c>
      <c r="H90" s="43">
        <v>0.58333333333333337</v>
      </c>
      <c r="I90" s="43">
        <v>0.625</v>
      </c>
      <c r="J90" s="4">
        <v>60</v>
      </c>
      <c r="K90" s="43"/>
      <c r="L90" s="43">
        <v>0.58333333333333337</v>
      </c>
      <c r="M90" s="43">
        <v>0.625</v>
      </c>
      <c r="N90" s="4">
        <v>60</v>
      </c>
      <c r="O90" s="4" t="s">
        <v>107</v>
      </c>
      <c r="P90" s="4"/>
      <c r="Q90" s="4"/>
      <c r="R90" s="4"/>
      <c r="S90" s="53">
        <v>1</v>
      </c>
      <c r="T90" s="48">
        <v>28</v>
      </c>
      <c r="U90" s="4">
        <v>48</v>
      </c>
      <c r="V90" s="4">
        <f t="shared" si="2"/>
        <v>28</v>
      </c>
      <c r="W90" s="4">
        <f t="shared" si="3"/>
        <v>48</v>
      </c>
      <c r="X90" s="4"/>
      <c r="Y90" s="4"/>
    </row>
    <row r="91" spans="1:25" x14ac:dyDescent="0.35">
      <c r="A91" s="8" t="s">
        <v>57</v>
      </c>
      <c r="B91" s="4" t="s">
        <v>23</v>
      </c>
      <c r="C91" s="4" t="s">
        <v>458</v>
      </c>
      <c r="D91" s="4" t="s">
        <v>459</v>
      </c>
      <c r="E91" s="4" t="s">
        <v>24</v>
      </c>
      <c r="F91" s="4" t="s">
        <v>267</v>
      </c>
      <c r="G91" s="5">
        <v>42668</v>
      </c>
      <c r="H91" s="45">
        <v>0.625</v>
      </c>
      <c r="I91" s="43">
        <v>0.64583333333333337</v>
      </c>
      <c r="J91" s="4">
        <v>30</v>
      </c>
      <c r="K91" s="43"/>
      <c r="L91" s="45">
        <v>0.625</v>
      </c>
      <c r="M91" s="43">
        <v>0.64583333333333337</v>
      </c>
      <c r="N91" s="4">
        <v>30</v>
      </c>
      <c r="O91" s="4" t="s">
        <v>107</v>
      </c>
      <c r="P91" s="4"/>
      <c r="Q91" s="4"/>
      <c r="R91" s="4"/>
      <c r="S91" s="53">
        <v>0.5</v>
      </c>
      <c r="T91" s="48">
        <v>28</v>
      </c>
      <c r="U91" s="4">
        <v>48</v>
      </c>
      <c r="V91" s="4">
        <f t="shared" si="2"/>
        <v>14</v>
      </c>
      <c r="W91" s="4">
        <f t="shared" si="3"/>
        <v>24</v>
      </c>
      <c r="X91" s="4"/>
      <c r="Y91" s="4"/>
    </row>
    <row r="92" spans="1:25" x14ac:dyDescent="0.35">
      <c r="A92" s="8" t="s">
        <v>57</v>
      </c>
      <c r="B92" s="10" t="s">
        <v>40</v>
      </c>
      <c r="C92" s="4" t="s">
        <v>458</v>
      </c>
      <c r="D92" s="4" t="s">
        <v>459</v>
      </c>
      <c r="E92" s="9" t="s">
        <v>266</v>
      </c>
      <c r="F92" s="9" t="s">
        <v>267</v>
      </c>
      <c r="G92" s="19">
        <v>42668</v>
      </c>
      <c r="H92" s="46">
        <v>0.625</v>
      </c>
      <c r="I92" s="46">
        <v>0.66666666666666663</v>
      </c>
      <c r="J92" s="9">
        <v>60</v>
      </c>
      <c r="K92" s="44"/>
      <c r="L92" s="46">
        <v>0.625</v>
      </c>
      <c r="M92" s="46">
        <v>0.66666666666666663</v>
      </c>
      <c r="N92" s="9">
        <v>60</v>
      </c>
      <c r="O92" s="9" t="s">
        <v>347</v>
      </c>
      <c r="P92" s="9" t="s">
        <v>497</v>
      </c>
      <c r="Q92" s="60" t="s">
        <v>811</v>
      </c>
      <c r="R92" s="9"/>
      <c r="S92" s="55">
        <v>0.5</v>
      </c>
      <c r="T92" s="49">
        <v>28</v>
      </c>
      <c r="U92" s="9">
        <v>48</v>
      </c>
      <c r="V92" s="4">
        <f t="shared" si="2"/>
        <v>14</v>
      </c>
      <c r="W92" s="4">
        <f t="shared" si="3"/>
        <v>24</v>
      </c>
      <c r="X92" s="9"/>
      <c r="Y92" s="9"/>
    </row>
    <row r="93" spans="1:25" x14ac:dyDescent="0.35">
      <c r="A93" s="8" t="s">
        <v>57</v>
      </c>
      <c r="B93" s="10" t="s">
        <v>40</v>
      </c>
      <c r="C93" s="4" t="s">
        <v>458</v>
      </c>
      <c r="D93" s="4" t="s">
        <v>459</v>
      </c>
      <c r="E93" s="9" t="s">
        <v>266</v>
      </c>
      <c r="F93" s="9" t="s">
        <v>267</v>
      </c>
      <c r="G93" s="19">
        <v>42668</v>
      </c>
      <c r="H93" s="46">
        <v>0.66666666666666663</v>
      </c>
      <c r="I93" s="56">
        <v>0.70833333333333337</v>
      </c>
      <c r="J93" s="9">
        <v>60</v>
      </c>
      <c r="K93" s="44"/>
      <c r="L93" s="46">
        <v>0.66666666666666663</v>
      </c>
      <c r="M93" s="56">
        <v>0.70833333333333337</v>
      </c>
      <c r="N93" s="9">
        <v>60</v>
      </c>
      <c r="O93" s="9" t="s">
        <v>107</v>
      </c>
      <c r="P93" s="9" t="s">
        <v>566</v>
      </c>
      <c r="Q93" s="9"/>
      <c r="R93" s="9"/>
      <c r="S93" s="57">
        <v>7</v>
      </c>
      <c r="T93" s="49">
        <v>28</v>
      </c>
      <c r="U93" s="9">
        <v>48</v>
      </c>
      <c r="V93" s="4">
        <f t="shared" si="2"/>
        <v>196</v>
      </c>
      <c r="W93" s="4">
        <f t="shared" si="3"/>
        <v>336</v>
      </c>
      <c r="X93" s="9"/>
      <c r="Y93" s="9"/>
    </row>
    <row r="94" spans="1:25" x14ac:dyDescent="0.35">
      <c r="A94" s="8" t="s">
        <v>57</v>
      </c>
      <c r="B94" s="4" t="s">
        <v>23</v>
      </c>
      <c r="C94" s="4" t="s">
        <v>445</v>
      </c>
      <c r="D94" s="4" t="s">
        <v>185</v>
      </c>
      <c r="E94" s="4" t="s">
        <v>24</v>
      </c>
      <c r="F94" s="4" t="s">
        <v>446</v>
      </c>
      <c r="G94" s="5">
        <v>42668</v>
      </c>
      <c r="H94" s="52">
        <v>0.36458333333333331</v>
      </c>
      <c r="I94" s="43">
        <v>0.375</v>
      </c>
      <c r="J94" s="4">
        <v>15</v>
      </c>
      <c r="K94" s="43"/>
      <c r="L94" s="52">
        <v>0.36458333333333331</v>
      </c>
      <c r="M94" s="43">
        <v>0.375</v>
      </c>
      <c r="N94" s="4">
        <v>15</v>
      </c>
      <c r="O94" s="4" t="s">
        <v>167</v>
      </c>
      <c r="P94" s="4" t="s">
        <v>252</v>
      </c>
      <c r="Q94" s="4"/>
      <c r="R94" s="4"/>
      <c r="S94" s="53">
        <v>0.25</v>
      </c>
      <c r="T94" s="48">
        <v>28</v>
      </c>
      <c r="U94" s="4">
        <v>48</v>
      </c>
      <c r="V94" s="4">
        <f t="shared" si="2"/>
        <v>7</v>
      </c>
      <c r="W94" s="4">
        <f t="shared" si="3"/>
        <v>12</v>
      </c>
      <c r="X94" s="4"/>
      <c r="Y94" s="4"/>
    </row>
    <row r="95" spans="1:25" x14ac:dyDescent="0.35">
      <c r="A95" s="8" t="s">
        <v>57</v>
      </c>
      <c r="B95" s="4" t="s">
        <v>23</v>
      </c>
      <c r="C95" s="4" t="s">
        <v>445</v>
      </c>
      <c r="D95" s="4" t="s">
        <v>185</v>
      </c>
      <c r="E95" s="4" t="s">
        <v>24</v>
      </c>
      <c r="F95" s="4" t="s">
        <v>446</v>
      </c>
      <c r="G95" s="5">
        <v>42668</v>
      </c>
      <c r="H95" s="43">
        <v>0.375</v>
      </c>
      <c r="I95" s="56">
        <v>0.41666666666666669</v>
      </c>
      <c r="J95" s="4">
        <v>60</v>
      </c>
      <c r="K95" s="43"/>
      <c r="L95" s="43">
        <v>0.375</v>
      </c>
      <c r="M95" s="56">
        <v>0.41666666666666669</v>
      </c>
      <c r="N95" s="4">
        <v>60</v>
      </c>
      <c r="O95" s="4" t="s">
        <v>167</v>
      </c>
      <c r="P95" s="4" t="s">
        <v>256</v>
      </c>
      <c r="Q95" s="4"/>
      <c r="R95" s="4"/>
      <c r="S95" s="50">
        <v>1.25</v>
      </c>
      <c r="T95" s="48">
        <v>28</v>
      </c>
      <c r="U95" s="4">
        <v>48</v>
      </c>
      <c r="V95" s="4">
        <f t="shared" si="2"/>
        <v>35</v>
      </c>
      <c r="W95" s="4">
        <f t="shared" si="3"/>
        <v>60</v>
      </c>
      <c r="X95" s="4"/>
      <c r="Y95" s="4"/>
    </row>
    <row r="96" spans="1:25" x14ac:dyDescent="0.35">
      <c r="A96" s="8" t="s">
        <v>57</v>
      </c>
      <c r="B96" s="10" t="s">
        <v>86</v>
      </c>
      <c r="C96" s="4" t="s">
        <v>64</v>
      </c>
      <c r="D96" s="4" t="s">
        <v>65</v>
      </c>
      <c r="E96" s="4" t="s">
        <v>24</v>
      </c>
      <c r="F96" s="4" t="s">
        <v>66</v>
      </c>
      <c r="G96" s="5">
        <v>42669</v>
      </c>
      <c r="H96" s="52">
        <v>0.38541666666666669</v>
      </c>
      <c r="I96" s="56">
        <v>0.41666666666666669</v>
      </c>
      <c r="J96" s="4">
        <v>45</v>
      </c>
      <c r="K96" s="43"/>
      <c r="L96" s="52">
        <v>0.38541666666666669</v>
      </c>
      <c r="M96" s="56">
        <v>0.41666666666666669</v>
      </c>
      <c r="N96" s="4">
        <v>45</v>
      </c>
      <c r="O96" s="6" t="s">
        <v>141</v>
      </c>
      <c r="P96" s="4" t="s">
        <v>142</v>
      </c>
      <c r="Q96" s="4"/>
      <c r="R96" s="4"/>
      <c r="S96" s="50">
        <v>1</v>
      </c>
      <c r="T96" s="48">
        <v>28</v>
      </c>
      <c r="U96" s="4">
        <v>48</v>
      </c>
      <c r="V96" s="4">
        <f t="shared" si="2"/>
        <v>28</v>
      </c>
      <c r="W96" s="4">
        <f t="shared" si="3"/>
        <v>48</v>
      </c>
      <c r="X96" s="4"/>
      <c r="Y96" s="4"/>
    </row>
    <row r="97" spans="1:25" x14ac:dyDescent="0.35">
      <c r="A97" s="8" t="s">
        <v>57</v>
      </c>
      <c r="B97" s="4" t="s">
        <v>23</v>
      </c>
      <c r="C97" s="9" t="s">
        <v>264</v>
      </c>
      <c r="D97" s="9" t="s">
        <v>265</v>
      </c>
      <c r="E97" s="9" t="s">
        <v>266</v>
      </c>
      <c r="F97" s="9" t="s">
        <v>267</v>
      </c>
      <c r="G97" s="19">
        <v>42669</v>
      </c>
      <c r="H97" s="52">
        <v>0.48958333333333331</v>
      </c>
      <c r="I97" s="46">
        <v>0.52083333333333337</v>
      </c>
      <c r="J97" s="9">
        <v>45</v>
      </c>
      <c r="K97" s="44"/>
      <c r="L97" s="52">
        <v>0.48958333333333331</v>
      </c>
      <c r="M97" s="46">
        <v>0.52083333333333337</v>
      </c>
      <c r="N97" s="9">
        <v>45</v>
      </c>
      <c r="O97" s="4" t="s">
        <v>291</v>
      </c>
      <c r="P97" s="9" t="s">
        <v>638</v>
      </c>
      <c r="Q97" s="9"/>
      <c r="R97" s="9"/>
      <c r="S97" s="55">
        <v>0.75</v>
      </c>
      <c r="T97" s="49">
        <v>28</v>
      </c>
      <c r="U97" s="9">
        <v>48</v>
      </c>
      <c r="V97" s="4">
        <f t="shared" si="2"/>
        <v>21</v>
      </c>
      <c r="W97" s="4">
        <f t="shared" si="3"/>
        <v>36</v>
      </c>
      <c r="X97" s="9"/>
      <c r="Y97" s="9"/>
    </row>
    <row r="98" spans="1:25" x14ac:dyDescent="0.35">
      <c r="A98" s="8" t="s">
        <v>57</v>
      </c>
      <c r="B98" s="4" t="s">
        <v>23</v>
      </c>
      <c r="C98" s="9" t="s">
        <v>264</v>
      </c>
      <c r="D98" s="9" t="s">
        <v>265</v>
      </c>
      <c r="E98" s="9" t="s">
        <v>266</v>
      </c>
      <c r="F98" s="9" t="s">
        <v>267</v>
      </c>
      <c r="G98" s="19">
        <v>42669</v>
      </c>
      <c r="H98" s="46">
        <v>0.54166666666666663</v>
      </c>
      <c r="I98" s="46">
        <v>0.58333333333333337</v>
      </c>
      <c r="J98" s="9">
        <v>60</v>
      </c>
      <c r="K98" s="44"/>
      <c r="L98" s="46">
        <v>0.54166666666666663</v>
      </c>
      <c r="M98" s="46">
        <v>0.58333333333333337</v>
      </c>
      <c r="N98" s="9">
        <v>60</v>
      </c>
      <c r="O98" s="9" t="s">
        <v>562</v>
      </c>
      <c r="P98" s="9" t="s">
        <v>649</v>
      </c>
      <c r="Q98" s="60" t="s">
        <v>809</v>
      </c>
      <c r="R98" s="9"/>
      <c r="S98" s="55">
        <v>1</v>
      </c>
      <c r="T98" s="49">
        <v>28</v>
      </c>
      <c r="U98" s="9">
        <v>48</v>
      </c>
      <c r="V98" s="4">
        <f t="shared" si="2"/>
        <v>28</v>
      </c>
      <c r="W98" s="4">
        <f t="shared" si="3"/>
        <v>48</v>
      </c>
      <c r="X98" s="9"/>
      <c r="Y98" s="9"/>
    </row>
    <row r="99" spans="1:25" x14ac:dyDescent="0.35">
      <c r="A99" s="8" t="s">
        <v>57</v>
      </c>
      <c r="B99" s="4" t="s">
        <v>23</v>
      </c>
      <c r="C99" s="9" t="s">
        <v>264</v>
      </c>
      <c r="D99" s="9" t="s">
        <v>265</v>
      </c>
      <c r="E99" s="9" t="s">
        <v>266</v>
      </c>
      <c r="F99" s="9" t="s">
        <v>267</v>
      </c>
      <c r="G99" s="19">
        <v>42669</v>
      </c>
      <c r="H99" s="46">
        <v>0.58333333333333337</v>
      </c>
      <c r="I99" s="46">
        <v>0.625</v>
      </c>
      <c r="J99" s="9">
        <v>60</v>
      </c>
      <c r="K99" s="44"/>
      <c r="L99" s="46">
        <v>0.58333333333333337</v>
      </c>
      <c r="M99" s="46">
        <v>0.625</v>
      </c>
      <c r="N99" s="9">
        <v>60</v>
      </c>
      <c r="O99" s="9" t="s">
        <v>107</v>
      </c>
      <c r="P99" s="9" t="s">
        <v>221</v>
      </c>
      <c r="Q99" s="9"/>
      <c r="R99" s="9"/>
      <c r="S99" s="55">
        <v>1</v>
      </c>
      <c r="T99" s="49">
        <v>28</v>
      </c>
      <c r="U99" s="9">
        <v>48</v>
      </c>
      <c r="V99" s="4">
        <f t="shared" si="2"/>
        <v>28</v>
      </c>
      <c r="W99" s="4">
        <f t="shared" si="3"/>
        <v>48</v>
      </c>
      <c r="X99" s="9"/>
      <c r="Y99" s="9"/>
    </row>
    <row r="100" spans="1:25" x14ac:dyDescent="0.35">
      <c r="A100" s="8" t="s">
        <v>57</v>
      </c>
      <c r="B100" s="4" t="s">
        <v>23</v>
      </c>
      <c r="C100" s="9" t="s">
        <v>264</v>
      </c>
      <c r="D100" s="9" t="s">
        <v>265</v>
      </c>
      <c r="E100" s="9" t="s">
        <v>266</v>
      </c>
      <c r="F100" s="9" t="s">
        <v>267</v>
      </c>
      <c r="G100" s="19">
        <v>42669</v>
      </c>
      <c r="H100" s="43">
        <v>0.625</v>
      </c>
      <c r="I100" s="43">
        <v>0.66666666666666663</v>
      </c>
      <c r="J100" s="4">
        <v>60</v>
      </c>
      <c r="K100" s="43"/>
      <c r="L100" s="43">
        <v>0.625</v>
      </c>
      <c r="M100" s="43">
        <v>0.66666666666666663</v>
      </c>
      <c r="N100" s="4">
        <v>60</v>
      </c>
      <c r="O100" s="9" t="s">
        <v>107</v>
      </c>
      <c r="P100" s="4"/>
      <c r="Q100" s="4"/>
      <c r="R100" s="4"/>
      <c r="S100" s="53">
        <v>1</v>
      </c>
      <c r="T100" s="48">
        <v>28</v>
      </c>
      <c r="U100" s="4">
        <v>48</v>
      </c>
      <c r="V100" s="4">
        <f t="shared" si="2"/>
        <v>28</v>
      </c>
      <c r="W100" s="4">
        <f t="shared" si="3"/>
        <v>48</v>
      </c>
      <c r="X100" s="4"/>
      <c r="Y100" s="4"/>
    </row>
    <row r="101" spans="1:25" x14ac:dyDescent="0.35">
      <c r="A101" s="8" t="s">
        <v>57</v>
      </c>
      <c r="B101" s="10" t="s">
        <v>40</v>
      </c>
      <c r="C101" s="4" t="s">
        <v>458</v>
      </c>
      <c r="D101" s="4" t="s">
        <v>459</v>
      </c>
      <c r="E101" s="4" t="s">
        <v>24</v>
      </c>
      <c r="F101" s="4" t="s">
        <v>267</v>
      </c>
      <c r="G101" s="5">
        <v>42669</v>
      </c>
      <c r="H101" s="43">
        <v>0.625</v>
      </c>
      <c r="I101" s="56">
        <v>0.65625</v>
      </c>
      <c r="J101" s="4">
        <v>45</v>
      </c>
      <c r="K101" s="43"/>
      <c r="L101" s="43">
        <v>0.625</v>
      </c>
      <c r="M101" s="56">
        <v>0.65625</v>
      </c>
      <c r="N101" s="4">
        <v>45</v>
      </c>
      <c r="O101" s="4" t="s">
        <v>331</v>
      </c>
      <c r="P101" s="4" t="s">
        <v>718</v>
      </c>
      <c r="Q101" s="59" t="s">
        <v>811</v>
      </c>
      <c r="R101" s="4"/>
      <c r="S101" s="50">
        <v>4.25</v>
      </c>
      <c r="T101" s="48">
        <v>28</v>
      </c>
      <c r="U101" s="4">
        <v>48</v>
      </c>
      <c r="V101" s="4">
        <f t="shared" si="2"/>
        <v>119</v>
      </c>
      <c r="W101" s="4">
        <f t="shared" si="3"/>
        <v>204</v>
      </c>
      <c r="X101" s="4"/>
      <c r="Y101" s="4"/>
    </row>
    <row r="102" spans="1:25" x14ac:dyDescent="0.35">
      <c r="A102" s="8" t="s">
        <v>57</v>
      </c>
      <c r="B102" s="4" t="s">
        <v>23</v>
      </c>
      <c r="C102" s="4" t="s">
        <v>766</v>
      </c>
      <c r="D102" s="4" t="s">
        <v>697</v>
      </c>
      <c r="E102" s="4" t="s">
        <v>24</v>
      </c>
      <c r="F102" s="4" t="s">
        <v>767</v>
      </c>
      <c r="G102" s="5">
        <v>42670</v>
      </c>
      <c r="H102" s="52">
        <v>0.58680555555555558</v>
      </c>
      <c r="I102" s="56">
        <v>0.60763888888888884</v>
      </c>
      <c r="J102" s="4">
        <v>30</v>
      </c>
      <c r="K102" s="43"/>
      <c r="L102" s="52">
        <v>0.58680555555555558</v>
      </c>
      <c r="M102" s="56">
        <v>0.60763888888888884</v>
      </c>
      <c r="N102" s="4">
        <v>30</v>
      </c>
      <c r="O102" s="4" t="s">
        <v>181</v>
      </c>
      <c r="P102" s="4" t="s">
        <v>182</v>
      </c>
      <c r="Q102" s="4"/>
      <c r="R102" s="4"/>
      <c r="S102" s="50">
        <v>1</v>
      </c>
      <c r="T102" s="48">
        <v>28</v>
      </c>
      <c r="U102" s="4">
        <v>48</v>
      </c>
      <c r="V102" s="4">
        <f t="shared" si="2"/>
        <v>28</v>
      </c>
      <c r="W102" s="4">
        <f t="shared" si="3"/>
        <v>48</v>
      </c>
      <c r="X102" s="4"/>
      <c r="Y102" s="4"/>
    </row>
    <row r="103" spans="1:25" x14ac:dyDescent="0.35">
      <c r="A103" s="8" t="s">
        <v>57</v>
      </c>
      <c r="B103" s="4" t="s">
        <v>23</v>
      </c>
      <c r="C103" s="4" t="s">
        <v>667</v>
      </c>
      <c r="D103" s="4" t="s">
        <v>668</v>
      </c>
      <c r="E103" s="4" t="s">
        <v>24</v>
      </c>
      <c r="F103" s="4" t="s">
        <v>669</v>
      </c>
      <c r="G103" s="5">
        <v>42670</v>
      </c>
      <c r="H103" s="52">
        <v>0.35416666666666669</v>
      </c>
      <c r="I103" s="43">
        <v>0.375</v>
      </c>
      <c r="J103" s="4">
        <v>30</v>
      </c>
      <c r="K103" s="43"/>
      <c r="L103" s="52">
        <v>0.35416666666666669</v>
      </c>
      <c r="M103" s="43">
        <v>0.375</v>
      </c>
      <c r="N103" s="4">
        <v>30</v>
      </c>
      <c r="O103" s="4" t="s">
        <v>291</v>
      </c>
      <c r="P103" s="4" t="s">
        <v>720</v>
      </c>
      <c r="Q103" s="4"/>
      <c r="R103" s="4"/>
      <c r="S103" s="53">
        <v>0.5</v>
      </c>
      <c r="T103" s="48">
        <v>28</v>
      </c>
      <c r="U103" s="4">
        <v>48</v>
      </c>
      <c r="V103" s="4">
        <f t="shared" si="2"/>
        <v>14</v>
      </c>
      <c r="W103" s="4">
        <f t="shared" si="3"/>
        <v>24</v>
      </c>
      <c r="X103" s="4"/>
      <c r="Y103" s="4"/>
    </row>
    <row r="104" spans="1:25" x14ac:dyDescent="0.35">
      <c r="A104" s="8" t="s">
        <v>57</v>
      </c>
      <c r="B104" s="4" t="s">
        <v>23</v>
      </c>
      <c r="C104" s="4" t="s">
        <v>667</v>
      </c>
      <c r="D104" s="4" t="s">
        <v>668</v>
      </c>
      <c r="E104" s="4" t="s">
        <v>24</v>
      </c>
      <c r="F104" s="4" t="s">
        <v>669</v>
      </c>
      <c r="G104" s="5">
        <v>42670</v>
      </c>
      <c r="H104" s="43">
        <v>0.38541666666666669</v>
      </c>
      <c r="I104" s="56">
        <v>0.39583333333333331</v>
      </c>
      <c r="J104" s="4">
        <v>15</v>
      </c>
      <c r="K104" s="43"/>
      <c r="L104" s="43">
        <v>0.38541666666666669</v>
      </c>
      <c r="M104" s="56">
        <v>0.39583333333333331</v>
      </c>
      <c r="N104" s="4">
        <v>15</v>
      </c>
      <c r="O104" s="4" t="s">
        <v>291</v>
      </c>
      <c r="P104" s="4" t="s">
        <v>529</v>
      </c>
      <c r="Q104" s="4"/>
      <c r="R104" s="4"/>
      <c r="S104" s="50">
        <v>1</v>
      </c>
      <c r="T104" s="48">
        <v>28</v>
      </c>
      <c r="U104" s="4">
        <v>48</v>
      </c>
      <c r="V104" s="4">
        <f t="shared" si="2"/>
        <v>28</v>
      </c>
      <c r="W104" s="4">
        <f t="shared" si="3"/>
        <v>48</v>
      </c>
      <c r="X104" s="4"/>
      <c r="Y104" s="4"/>
    </row>
    <row r="105" spans="1:25" x14ac:dyDescent="0.35">
      <c r="A105" s="8" t="s">
        <v>57</v>
      </c>
      <c r="B105" s="4" t="s">
        <v>23</v>
      </c>
      <c r="C105" s="4" t="s">
        <v>458</v>
      </c>
      <c r="D105" s="4" t="s">
        <v>459</v>
      </c>
      <c r="E105" s="4" t="s">
        <v>24</v>
      </c>
      <c r="F105" s="4" t="s">
        <v>267</v>
      </c>
      <c r="G105" s="5">
        <v>42670</v>
      </c>
      <c r="H105" s="52">
        <v>0.54166666666666663</v>
      </c>
      <c r="I105" s="43">
        <v>0.58333333333333337</v>
      </c>
      <c r="J105" s="4">
        <v>60</v>
      </c>
      <c r="K105" s="43"/>
      <c r="L105" s="52">
        <v>0.54166666666666663</v>
      </c>
      <c r="M105" s="43">
        <v>0.58333333333333337</v>
      </c>
      <c r="N105" s="4">
        <v>60</v>
      </c>
      <c r="O105" s="4" t="s">
        <v>110</v>
      </c>
      <c r="P105" s="4"/>
      <c r="Q105" s="4"/>
      <c r="R105" s="4"/>
      <c r="S105" s="53">
        <v>1</v>
      </c>
      <c r="T105" s="48">
        <v>28</v>
      </c>
      <c r="U105" s="4">
        <v>48</v>
      </c>
      <c r="V105" s="4">
        <f t="shared" si="2"/>
        <v>28</v>
      </c>
      <c r="W105" s="4">
        <f t="shared" si="3"/>
        <v>48</v>
      </c>
      <c r="X105" s="4"/>
      <c r="Y105" s="4"/>
    </row>
    <row r="106" spans="1:25" x14ac:dyDescent="0.35">
      <c r="A106" s="8" t="s">
        <v>57</v>
      </c>
      <c r="B106" s="4" t="s">
        <v>23</v>
      </c>
      <c r="C106" s="4" t="s">
        <v>458</v>
      </c>
      <c r="D106" s="4" t="s">
        <v>459</v>
      </c>
      <c r="E106" s="4" t="s">
        <v>24</v>
      </c>
      <c r="F106" s="4" t="s">
        <v>267</v>
      </c>
      <c r="G106" s="5">
        <v>42670</v>
      </c>
      <c r="H106" s="43">
        <v>0.58333333333333337</v>
      </c>
      <c r="I106" s="56">
        <v>0.59375</v>
      </c>
      <c r="J106" s="4">
        <v>15</v>
      </c>
      <c r="K106" s="43"/>
      <c r="L106" s="43">
        <v>0.58333333333333337</v>
      </c>
      <c r="M106" s="56">
        <v>0.59375</v>
      </c>
      <c r="N106" s="4">
        <v>15</v>
      </c>
      <c r="O106" s="4" t="s">
        <v>107</v>
      </c>
      <c r="P106" s="4" t="s">
        <v>529</v>
      </c>
      <c r="Q106" s="4"/>
      <c r="R106" s="4"/>
      <c r="S106" s="50">
        <v>1.25</v>
      </c>
      <c r="T106" s="48">
        <v>28</v>
      </c>
      <c r="U106" s="4">
        <v>48</v>
      </c>
      <c r="V106" s="4">
        <f t="shared" si="2"/>
        <v>35</v>
      </c>
      <c r="W106" s="4">
        <f t="shared" si="3"/>
        <v>60</v>
      </c>
      <c r="X106" s="4"/>
      <c r="Y106" s="4"/>
    </row>
    <row r="107" spans="1:25" x14ac:dyDescent="0.35">
      <c r="A107" s="8" t="s">
        <v>397</v>
      </c>
      <c r="B107" s="4" t="s">
        <v>23</v>
      </c>
      <c r="C107" s="4" t="s">
        <v>551</v>
      </c>
      <c r="D107" s="4" t="s">
        <v>552</v>
      </c>
      <c r="E107" s="4" t="s">
        <v>307</v>
      </c>
      <c r="F107" s="4" t="s">
        <v>553</v>
      </c>
      <c r="G107" s="5">
        <v>42668</v>
      </c>
      <c r="H107" s="52">
        <v>0.66666666666666663</v>
      </c>
      <c r="I107" s="56">
        <v>0.71527777777777779</v>
      </c>
      <c r="J107" s="4">
        <v>70</v>
      </c>
      <c r="K107" s="43"/>
      <c r="L107" s="52">
        <v>0.66666666666666663</v>
      </c>
      <c r="M107" s="56">
        <v>0.71527777777777779</v>
      </c>
      <c r="N107" s="4">
        <v>70</v>
      </c>
      <c r="O107" s="14" t="s">
        <v>59</v>
      </c>
      <c r="P107" s="4" t="s">
        <v>280</v>
      </c>
      <c r="Q107" s="4"/>
      <c r="R107" s="4"/>
      <c r="S107" s="50">
        <v>1.25</v>
      </c>
      <c r="T107" s="48">
        <v>30</v>
      </c>
      <c r="U107" s="4">
        <v>48</v>
      </c>
      <c r="V107" s="4">
        <f t="shared" si="2"/>
        <v>37.5</v>
      </c>
      <c r="W107" s="4">
        <f t="shared" si="3"/>
        <v>60</v>
      </c>
      <c r="X107" s="4" t="s">
        <v>396</v>
      </c>
      <c r="Y107" s="4"/>
    </row>
    <row r="108" spans="1:25" x14ac:dyDescent="0.35">
      <c r="A108" s="8" t="s">
        <v>397</v>
      </c>
      <c r="B108" s="4" t="s">
        <v>23</v>
      </c>
      <c r="C108" s="4" t="s">
        <v>387</v>
      </c>
      <c r="D108" s="4" t="s">
        <v>568</v>
      </c>
      <c r="E108" s="4" t="s">
        <v>307</v>
      </c>
      <c r="F108" s="4" t="s">
        <v>388</v>
      </c>
      <c r="G108" s="5">
        <v>42669</v>
      </c>
      <c r="H108" s="52">
        <v>0.27083333333333331</v>
      </c>
      <c r="I108" s="56">
        <v>0.39583333333333331</v>
      </c>
      <c r="J108" s="4">
        <v>240</v>
      </c>
      <c r="K108" s="43"/>
      <c r="L108" s="52">
        <v>0.27083333333333331</v>
      </c>
      <c r="M108" s="56">
        <v>0.39583333333333331</v>
      </c>
      <c r="N108" s="4">
        <v>240</v>
      </c>
      <c r="O108" s="4" t="s">
        <v>253</v>
      </c>
      <c r="P108" s="4" t="s">
        <v>254</v>
      </c>
      <c r="Q108" s="4"/>
      <c r="R108" s="4"/>
      <c r="S108" s="50">
        <v>3</v>
      </c>
      <c r="T108" s="48">
        <v>30</v>
      </c>
      <c r="U108" s="4">
        <v>48</v>
      </c>
      <c r="V108" s="4">
        <f t="shared" si="2"/>
        <v>90</v>
      </c>
      <c r="W108" s="4">
        <f t="shared" si="3"/>
        <v>144</v>
      </c>
      <c r="X108" s="4"/>
      <c r="Y108" s="4"/>
    </row>
    <row r="109" spans="1:25" x14ac:dyDescent="0.35">
      <c r="A109" s="8" t="s">
        <v>397</v>
      </c>
      <c r="B109" s="4" t="s">
        <v>23</v>
      </c>
      <c r="C109" s="4" t="s">
        <v>328</v>
      </c>
      <c r="D109" s="4" t="s">
        <v>329</v>
      </c>
      <c r="E109" s="4" t="s">
        <v>307</v>
      </c>
      <c r="F109" s="4" t="s">
        <v>330</v>
      </c>
      <c r="G109" s="5">
        <v>42669</v>
      </c>
      <c r="H109" s="52">
        <v>0.52083333333333337</v>
      </c>
      <c r="I109" s="43">
        <v>0.54166666666666663</v>
      </c>
      <c r="J109" s="4">
        <v>30</v>
      </c>
      <c r="K109" s="43"/>
      <c r="L109" s="52">
        <v>0.52083333333333337</v>
      </c>
      <c r="M109" s="43">
        <v>0.54166666666666663</v>
      </c>
      <c r="N109" s="4">
        <v>30</v>
      </c>
      <c r="O109" s="4" t="s">
        <v>156</v>
      </c>
      <c r="P109" s="4"/>
      <c r="Q109" s="4"/>
      <c r="R109" s="4"/>
      <c r="S109" s="53">
        <v>0.5</v>
      </c>
      <c r="T109" s="48">
        <v>30</v>
      </c>
      <c r="U109" s="4">
        <v>48</v>
      </c>
      <c r="V109" s="4">
        <f t="shared" si="2"/>
        <v>15</v>
      </c>
      <c r="W109" s="4">
        <f t="shared" si="3"/>
        <v>24</v>
      </c>
      <c r="X109" s="4"/>
      <c r="Y109" s="4"/>
    </row>
    <row r="110" spans="1:25" x14ac:dyDescent="0.35">
      <c r="A110" s="8" t="s">
        <v>397</v>
      </c>
      <c r="B110" s="4" t="s">
        <v>23</v>
      </c>
      <c r="C110" s="4" t="s">
        <v>328</v>
      </c>
      <c r="D110" s="4" t="s">
        <v>329</v>
      </c>
      <c r="E110" s="4" t="s">
        <v>307</v>
      </c>
      <c r="F110" s="4" t="s">
        <v>330</v>
      </c>
      <c r="G110" s="5">
        <v>42669</v>
      </c>
      <c r="H110" s="45">
        <v>0.54166666666666663</v>
      </c>
      <c r="I110" s="43">
        <v>0.58333333333333326</v>
      </c>
      <c r="J110" s="4">
        <v>60</v>
      </c>
      <c r="K110" s="43"/>
      <c r="L110" s="45">
        <v>0.54166666666666663</v>
      </c>
      <c r="M110" s="43">
        <v>0.58333333333333326</v>
      </c>
      <c r="N110" s="4">
        <v>60</v>
      </c>
      <c r="O110" s="6" t="s">
        <v>26</v>
      </c>
      <c r="P110" s="4" t="s">
        <v>268</v>
      </c>
      <c r="Q110" s="4"/>
      <c r="R110" s="4"/>
      <c r="S110" s="53">
        <v>1</v>
      </c>
      <c r="T110" s="48">
        <v>30</v>
      </c>
      <c r="U110" s="4">
        <v>48</v>
      </c>
      <c r="V110" s="4">
        <f t="shared" si="2"/>
        <v>30</v>
      </c>
      <c r="W110" s="4">
        <f t="shared" si="3"/>
        <v>48</v>
      </c>
      <c r="X110" s="4"/>
      <c r="Y110" s="4"/>
    </row>
    <row r="111" spans="1:25" x14ac:dyDescent="0.35">
      <c r="A111" s="8" t="s">
        <v>397</v>
      </c>
      <c r="B111" s="10" t="s">
        <v>40</v>
      </c>
      <c r="C111" s="4" t="s">
        <v>328</v>
      </c>
      <c r="D111" s="4" t="s">
        <v>329</v>
      </c>
      <c r="E111" s="4" t="s">
        <v>307</v>
      </c>
      <c r="F111" s="4" t="s">
        <v>330</v>
      </c>
      <c r="G111" s="5">
        <v>42669</v>
      </c>
      <c r="H111" s="45">
        <v>0.5625</v>
      </c>
      <c r="I111" s="43">
        <v>0.58333333333333337</v>
      </c>
      <c r="J111" s="4">
        <v>30</v>
      </c>
      <c r="K111" s="43"/>
      <c r="L111" s="45">
        <v>0.5625</v>
      </c>
      <c r="M111" s="43">
        <v>0.58333333333333337</v>
      </c>
      <c r="N111" s="4">
        <v>30</v>
      </c>
      <c r="O111" s="6" t="s">
        <v>156</v>
      </c>
      <c r="P111" s="4" t="s">
        <v>269</v>
      </c>
      <c r="Q111" s="59" t="s">
        <v>810</v>
      </c>
      <c r="R111" s="4"/>
      <c r="S111" s="53">
        <v>0</v>
      </c>
      <c r="T111" s="48">
        <v>30</v>
      </c>
      <c r="U111" s="4">
        <v>48</v>
      </c>
      <c r="V111" s="4">
        <f t="shared" si="2"/>
        <v>0</v>
      </c>
      <c r="W111" s="4">
        <f t="shared" si="3"/>
        <v>0</v>
      </c>
      <c r="X111" s="4"/>
      <c r="Y111" s="4"/>
    </row>
    <row r="112" spans="1:25" x14ac:dyDescent="0.35">
      <c r="A112" s="8" t="s">
        <v>397</v>
      </c>
      <c r="B112" s="4" t="s">
        <v>23</v>
      </c>
      <c r="C112" s="4" t="s">
        <v>328</v>
      </c>
      <c r="D112" s="4" t="s">
        <v>329</v>
      </c>
      <c r="E112" s="4" t="s">
        <v>307</v>
      </c>
      <c r="F112" s="4" t="s">
        <v>330</v>
      </c>
      <c r="G112" s="5">
        <v>42669</v>
      </c>
      <c r="H112" s="43">
        <v>0.58333333333333337</v>
      </c>
      <c r="I112" s="56">
        <v>0.60416666666666674</v>
      </c>
      <c r="J112" s="4">
        <v>30</v>
      </c>
      <c r="K112" s="43"/>
      <c r="L112" s="43">
        <v>0.58333333333333337</v>
      </c>
      <c r="M112" s="56">
        <v>0.60416666666666674</v>
      </c>
      <c r="N112" s="4">
        <v>30</v>
      </c>
      <c r="O112" s="4" t="s">
        <v>156</v>
      </c>
      <c r="P112" s="4" t="s">
        <v>269</v>
      </c>
      <c r="Q112" s="59" t="s">
        <v>809</v>
      </c>
      <c r="R112" s="4"/>
      <c r="S112" s="50">
        <v>2</v>
      </c>
      <c r="T112" s="48">
        <v>30</v>
      </c>
      <c r="U112" s="4">
        <v>48</v>
      </c>
      <c r="V112" s="4">
        <f t="shared" si="2"/>
        <v>60</v>
      </c>
      <c r="W112" s="4">
        <f t="shared" si="3"/>
        <v>96</v>
      </c>
      <c r="X112" s="4" t="s">
        <v>38</v>
      </c>
      <c r="Y112" s="4"/>
    </row>
    <row r="113" spans="1:25" x14ac:dyDescent="0.35">
      <c r="A113" s="8" t="s">
        <v>397</v>
      </c>
      <c r="B113" s="4" t="s">
        <v>23</v>
      </c>
      <c r="C113" s="4" t="s">
        <v>387</v>
      </c>
      <c r="D113" s="4" t="s">
        <v>568</v>
      </c>
      <c r="E113" s="4" t="s">
        <v>307</v>
      </c>
      <c r="F113" s="4" t="s">
        <v>388</v>
      </c>
      <c r="G113" s="5">
        <v>42670</v>
      </c>
      <c r="H113" s="52">
        <v>0.625</v>
      </c>
      <c r="I113" s="56">
        <v>0.64583333333333337</v>
      </c>
      <c r="J113" s="4">
        <v>30</v>
      </c>
      <c r="K113" s="43"/>
      <c r="L113" s="52">
        <v>0.625</v>
      </c>
      <c r="M113" s="56">
        <v>0.64583333333333337</v>
      </c>
      <c r="N113" s="4">
        <v>30</v>
      </c>
      <c r="O113" s="4" t="s">
        <v>156</v>
      </c>
      <c r="P113" s="4" t="s">
        <v>50</v>
      </c>
      <c r="Q113" s="4"/>
      <c r="R113" s="4"/>
      <c r="S113" s="50">
        <v>1</v>
      </c>
      <c r="T113" s="48">
        <v>30</v>
      </c>
      <c r="U113" s="4">
        <v>48</v>
      </c>
      <c r="V113" s="4">
        <f t="shared" si="2"/>
        <v>30</v>
      </c>
      <c r="W113" s="4">
        <f t="shared" si="3"/>
        <v>48</v>
      </c>
      <c r="X113" s="4"/>
      <c r="Y113" s="4"/>
    </row>
    <row r="114" spans="1:25" x14ac:dyDescent="0.35">
      <c r="A114" s="8" t="s">
        <v>373</v>
      </c>
      <c r="B114" s="4" t="s">
        <v>23</v>
      </c>
      <c r="C114" s="4" t="s">
        <v>537</v>
      </c>
      <c r="D114" s="4" t="s">
        <v>538</v>
      </c>
      <c r="E114" s="4" t="s">
        <v>32</v>
      </c>
      <c r="F114" s="4" t="s">
        <v>539</v>
      </c>
      <c r="G114" s="5">
        <v>42668</v>
      </c>
      <c r="H114" s="52">
        <v>0.61111111111111105</v>
      </c>
      <c r="I114" s="43">
        <v>0.64583333333333326</v>
      </c>
      <c r="J114" s="4">
        <v>50</v>
      </c>
      <c r="K114" s="43"/>
      <c r="L114" s="52">
        <v>0.61111111111111105</v>
      </c>
      <c r="M114" s="43">
        <v>0.64583333333333326</v>
      </c>
      <c r="N114" s="4">
        <v>50</v>
      </c>
      <c r="O114" s="14" t="s">
        <v>59</v>
      </c>
      <c r="P114" s="4" t="s">
        <v>321</v>
      </c>
      <c r="Q114" s="4"/>
      <c r="R114" s="4"/>
      <c r="S114" s="53">
        <v>1</v>
      </c>
      <c r="T114" s="48">
        <v>33</v>
      </c>
      <c r="U114" s="4">
        <v>48</v>
      </c>
      <c r="V114" s="4">
        <f t="shared" si="2"/>
        <v>33</v>
      </c>
      <c r="W114" s="4">
        <f t="shared" si="3"/>
        <v>48</v>
      </c>
      <c r="X114" s="4"/>
      <c r="Y114" s="4"/>
    </row>
    <row r="115" spans="1:25" x14ac:dyDescent="0.35">
      <c r="A115" s="8" t="s">
        <v>373</v>
      </c>
      <c r="B115" s="4" t="s">
        <v>23</v>
      </c>
      <c r="C115" s="4" t="s">
        <v>537</v>
      </c>
      <c r="D115" s="4" t="s">
        <v>538</v>
      </c>
      <c r="E115" s="4" t="s">
        <v>32</v>
      </c>
      <c r="F115" s="4" t="s">
        <v>539</v>
      </c>
      <c r="G115" s="5">
        <v>42668</v>
      </c>
      <c r="H115" s="45">
        <v>0.64583333333333337</v>
      </c>
      <c r="I115" s="56">
        <v>0.6875</v>
      </c>
      <c r="J115" s="4">
        <v>60</v>
      </c>
      <c r="K115" s="43"/>
      <c r="L115" s="45">
        <v>0.64583333333333337</v>
      </c>
      <c r="M115" s="56">
        <v>0.6875</v>
      </c>
      <c r="N115" s="4">
        <v>60</v>
      </c>
      <c r="O115" s="14" t="s">
        <v>93</v>
      </c>
      <c r="P115" s="4" t="s">
        <v>94</v>
      </c>
      <c r="Q115" s="4"/>
      <c r="R115" s="4"/>
      <c r="S115" s="50">
        <v>2</v>
      </c>
      <c r="T115" s="48">
        <v>33</v>
      </c>
      <c r="U115" s="4">
        <v>48</v>
      </c>
      <c r="V115" s="4">
        <f t="shared" si="2"/>
        <v>66</v>
      </c>
      <c r="W115" s="4">
        <f t="shared" si="3"/>
        <v>96</v>
      </c>
      <c r="X115" s="4" t="s">
        <v>51</v>
      </c>
      <c r="Y115" s="4"/>
    </row>
    <row r="116" spans="1:25" x14ac:dyDescent="0.35">
      <c r="A116" s="8" t="s">
        <v>373</v>
      </c>
      <c r="B116" s="4" t="s">
        <v>23</v>
      </c>
      <c r="C116" s="4" t="s">
        <v>374</v>
      </c>
      <c r="D116" s="4" t="s">
        <v>660</v>
      </c>
      <c r="E116" s="4" t="s">
        <v>32</v>
      </c>
      <c r="F116" s="4" t="s">
        <v>375</v>
      </c>
      <c r="G116" s="5">
        <v>42669</v>
      </c>
      <c r="H116" s="52">
        <v>0.5625</v>
      </c>
      <c r="I116" s="43">
        <v>0.60416666666666663</v>
      </c>
      <c r="J116" s="4">
        <v>60</v>
      </c>
      <c r="K116" s="43"/>
      <c r="L116" s="52">
        <v>0.5625</v>
      </c>
      <c r="M116" s="43">
        <v>0.60416666666666663</v>
      </c>
      <c r="N116" s="4">
        <v>60</v>
      </c>
      <c r="O116" s="14" t="s">
        <v>93</v>
      </c>
      <c r="P116" s="4"/>
      <c r="Q116" s="4"/>
      <c r="R116" s="4"/>
      <c r="S116" s="53">
        <v>1</v>
      </c>
      <c r="T116" s="48">
        <v>33</v>
      </c>
      <c r="U116" s="4">
        <v>48</v>
      </c>
      <c r="V116" s="4">
        <f t="shared" si="2"/>
        <v>33</v>
      </c>
      <c r="W116" s="4">
        <f t="shared" si="3"/>
        <v>48</v>
      </c>
      <c r="X116" s="4"/>
      <c r="Y116" s="4"/>
    </row>
    <row r="117" spans="1:25" x14ac:dyDescent="0.35">
      <c r="A117" s="8" t="s">
        <v>373</v>
      </c>
      <c r="B117" s="4" t="s">
        <v>23</v>
      </c>
      <c r="C117" s="4" t="s">
        <v>374</v>
      </c>
      <c r="D117" s="4" t="s">
        <v>660</v>
      </c>
      <c r="E117" s="4" t="s">
        <v>32</v>
      </c>
      <c r="F117" s="4" t="s">
        <v>375</v>
      </c>
      <c r="G117" s="5">
        <v>42669</v>
      </c>
      <c r="H117" s="43">
        <v>0.60416666666666663</v>
      </c>
      <c r="I117" s="56">
        <v>0.70833333333333326</v>
      </c>
      <c r="J117" s="4">
        <v>150</v>
      </c>
      <c r="K117" s="43"/>
      <c r="L117" s="43">
        <v>0.60416666666666663</v>
      </c>
      <c r="M117" s="56">
        <v>0.70833333333333326</v>
      </c>
      <c r="N117" s="4">
        <v>150</v>
      </c>
      <c r="O117" s="14" t="s">
        <v>93</v>
      </c>
      <c r="P117" s="4" t="s">
        <v>303</v>
      </c>
      <c r="Q117" s="4"/>
      <c r="R117" s="4"/>
      <c r="S117" s="50">
        <v>3.5</v>
      </c>
      <c r="T117" s="48">
        <v>33</v>
      </c>
      <c r="U117" s="4">
        <v>48</v>
      </c>
      <c r="V117" s="4">
        <f t="shared" si="2"/>
        <v>115.5</v>
      </c>
      <c r="W117" s="4">
        <f t="shared" si="3"/>
        <v>168</v>
      </c>
      <c r="X117" s="4" t="s">
        <v>51</v>
      </c>
      <c r="Y117" s="4"/>
    </row>
    <row r="118" spans="1:25" x14ac:dyDescent="0.35">
      <c r="A118" s="8" t="s">
        <v>373</v>
      </c>
      <c r="B118" s="4" t="s">
        <v>23</v>
      </c>
      <c r="C118" s="4" t="s">
        <v>469</v>
      </c>
      <c r="D118" s="4" t="s">
        <v>470</v>
      </c>
      <c r="E118" s="4" t="s">
        <v>471</v>
      </c>
      <c r="F118" s="4" t="s">
        <v>472</v>
      </c>
      <c r="G118" s="5">
        <v>42669</v>
      </c>
      <c r="H118" s="52">
        <v>0.41666666666666669</v>
      </c>
      <c r="I118" s="56">
        <v>0.44444444444444448</v>
      </c>
      <c r="J118" s="4">
        <v>40</v>
      </c>
      <c r="K118" s="43"/>
      <c r="L118" s="52">
        <v>0.41666666666666669</v>
      </c>
      <c r="M118" s="56">
        <v>0.44444444444444448</v>
      </c>
      <c r="N118" s="4">
        <v>40</v>
      </c>
      <c r="O118" s="14" t="s">
        <v>59</v>
      </c>
      <c r="P118" s="4" t="s">
        <v>280</v>
      </c>
      <c r="Q118" s="4"/>
      <c r="R118" s="4"/>
      <c r="S118" s="50">
        <v>1</v>
      </c>
      <c r="T118" s="48">
        <v>33</v>
      </c>
      <c r="U118" s="4">
        <v>48</v>
      </c>
      <c r="V118" s="4">
        <f t="shared" si="2"/>
        <v>33</v>
      </c>
      <c r="W118" s="4">
        <f t="shared" si="3"/>
        <v>48</v>
      </c>
      <c r="X118" s="4"/>
      <c r="Y118" s="4"/>
    </row>
    <row r="119" spans="1:25" x14ac:dyDescent="0.35">
      <c r="A119" s="8" t="s">
        <v>373</v>
      </c>
      <c r="B119" s="4" t="s">
        <v>23</v>
      </c>
      <c r="C119" s="4" t="s">
        <v>739</v>
      </c>
      <c r="D119" s="4" t="s">
        <v>740</v>
      </c>
      <c r="E119" s="4" t="s">
        <v>32</v>
      </c>
      <c r="F119" s="4" t="s">
        <v>741</v>
      </c>
      <c r="G119" s="5">
        <v>42670</v>
      </c>
      <c r="H119" s="52">
        <v>0.43055555555555558</v>
      </c>
      <c r="I119" s="56">
        <v>0.45833333333333337</v>
      </c>
      <c r="J119" s="4">
        <v>40</v>
      </c>
      <c r="K119" s="43"/>
      <c r="L119" s="52">
        <v>0.43055555555555558</v>
      </c>
      <c r="M119" s="56">
        <v>0.45833333333333337</v>
      </c>
      <c r="N119" s="4">
        <v>40</v>
      </c>
      <c r="O119" s="14" t="s">
        <v>59</v>
      </c>
      <c r="P119" s="4" t="s">
        <v>280</v>
      </c>
      <c r="Q119" s="4"/>
      <c r="R119" s="4"/>
      <c r="S119" s="50">
        <v>1</v>
      </c>
      <c r="T119" s="48">
        <v>33</v>
      </c>
      <c r="U119" s="4">
        <v>48</v>
      </c>
      <c r="V119" s="4">
        <f t="shared" si="2"/>
        <v>33</v>
      </c>
      <c r="W119" s="4">
        <f t="shared" si="3"/>
        <v>48</v>
      </c>
      <c r="X119" s="4"/>
      <c r="Y119" s="4"/>
    </row>
    <row r="120" spans="1:25" x14ac:dyDescent="0.35">
      <c r="A120" s="8" t="s">
        <v>706</v>
      </c>
      <c r="B120" s="4" t="s">
        <v>23</v>
      </c>
      <c r="C120" s="4" t="s">
        <v>203</v>
      </c>
      <c r="D120" s="4" t="s">
        <v>204</v>
      </c>
      <c r="E120" s="4" t="s">
        <v>24</v>
      </c>
      <c r="F120" s="4" t="s">
        <v>205</v>
      </c>
      <c r="G120" s="5">
        <v>42669</v>
      </c>
      <c r="H120" s="52">
        <v>0.66666666666666663</v>
      </c>
      <c r="I120" s="43">
        <v>0.6875</v>
      </c>
      <c r="J120" s="4">
        <v>30</v>
      </c>
      <c r="K120" s="43"/>
      <c r="L120" s="52">
        <v>0.66666666666666663</v>
      </c>
      <c r="M120" s="43">
        <v>0.6875</v>
      </c>
      <c r="N120" s="4">
        <v>30</v>
      </c>
      <c r="O120" s="6" t="s">
        <v>49</v>
      </c>
      <c r="P120" s="4" t="s">
        <v>50</v>
      </c>
      <c r="Q120" s="4"/>
      <c r="R120" s="4"/>
      <c r="S120" s="53">
        <v>0.5</v>
      </c>
      <c r="T120" s="48">
        <v>32</v>
      </c>
      <c r="U120" s="4">
        <v>48</v>
      </c>
      <c r="V120" s="4">
        <f t="shared" si="2"/>
        <v>16</v>
      </c>
      <c r="W120" s="4">
        <f t="shared" si="3"/>
        <v>24</v>
      </c>
      <c r="X120" s="4" t="s">
        <v>51</v>
      </c>
      <c r="Y120" s="4"/>
    </row>
    <row r="121" spans="1:25" x14ac:dyDescent="0.35">
      <c r="A121" s="8" t="s">
        <v>706</v>
      </c>
      <c r="B121" s="4" t="s">
        <v>23</v>
      </c>
      <c r="C121" s="4" t="s">
        <v>203</v>
      </c>
      <c r="D121" s="4" t="s">
        <v>204</v>
      </c>
      <c r="E121" s="4" t="s">
        <v>24</v>
      </c>
      <c r="F121" s="4" t="s">
        <v>205</v>
      </c>
      <c r="G121" s="5">
        <v>42669</v>
      </c>
      <c r="H121" s="45">
        <v>0.6875</v>
      </c>
      <c r="I121" s="56">
        <v>0.70833333333333337</v>
      </c>
      <c r="J121" s="4">
        <v>30</v>
      </c>
      <c r="K121" s="43"/>
      <c r="L121" s="45">
        <v>0.6875</v>
      </c>
      <c r="M121" s="56">
        <v>0.70833333333333337</v>
      </c>
      <c r="N121" s="4">
        <v>30</v>
      </c>
      <c r="O121" s="6" t="s">
        <v>53</v>
      </c>
      <c r="P121" s="4" t="s">
        <v>63</v>
      </c>
      <c r="Q121" s="4"/>
      <c r="R121" s="4"/>
      <c r="S121" s="50">
        <v>1</v>
      </c>
      <c r="T121" s="48">
        <v>32</v>
      </c>
      <c r="U121" s="4">
        <v>48</v>
      </c>
      <c r="V121" s="4">
        <f t="shared" si="2"/>
        <v>32</v>
      </c>
      <c r="W121" s="4">
        <f t="shared" si="3"/>
        <v>48</v>
      </c>
      <c r="X121" s="4"/>
      <c r="Y121" s="4"/>
    </row>
    <row r="122" spans="1:25" x14ac:dyDescent="0.35">
      <c r="A122" s="8" t="s">
        <v>542</v>
      </c>
      <c r="B122" s="4" t="s">
        <v>23</v>
      </c>
      <c r="C122" s="4" t="s">
        <v>543</v>
      </c>
      <c r="D122" s="4" t="s">
        <v>544</v>
      </c>
      <c r="E122" s="4" t="s">
        <v>545</v>
      </c>
      <c r="F122" s="4" t="s">
        <v>546</v>
      </c>
      <c r="G122" s="5">
        <v>42668</v>
      </c>
      <c r="H122" s="52">
        <v>0.61458333333333337</v>
      </c>
      <c r="I122" s="43">
        <v>0.65625</v>
      </c>
      <c r="J122" s="4">
        <v>60</v>
      </c>
      <c r="K122" s="43"/>
      <c r="L122" s="52">
        <v>0.61458333333333337</v>
      </c>
      <c r="M122" s="43">
        <v>0.65625</v>
      </c>
      <c r="N122" s="4">
        <v>60</v>
      </c>
      <c r="O122" s="6" t="s">
        <v>149</v>
      </c>
      <c r="P122" s="4" t="s">
        <v>547</v>
      </c>
      <c r="Q122" s="10" t="s">
        <v>808</v>
      </c>
      <c r="R122" s="4"/>
      <c r="S122" s="53">
        <v>1</v>
      </c>
      <c r="T122" s="48">
        <v>40</v>
      </c>
      <c r="U122" s="4">
        <v>48</v>
      </c>
      <c r="V122" s="4">
        <f t="shared" si="2"/>
        <v>40</v>
      </c>
      <c r="W122" s="4">
        <f t="shared" si="3"/>
        <v>48</v>
      </c>
      <c r="X122" s="4"/>
      <c r="Y122" s="4"/>
    </row>
    <row r="123" spans="1:25" x14ac:dyDescent="0.35">
      <c r="A123" s="8" t="s">
        <v>542</v>
      </c>
      <c r="B123" s="4" t="s">
        <v>23</v>
      </c>
      <c r="C123" s="4" t="s">
        <v>543</v>
      </c>
      <c r="D123" s="4" t="s">
        <v>544</v>
      </c>
      <c r="E123" s="4" t="s">
        <v>545</v>
      </c>
      <c r="F123" s="4" t="s">
        <v>546</v>
      </c>
      <c r="G123" s="5">
        <v>42668</v>
      </c>
      <c r="H123" s="45">
        <v>0.65625</v>
      </c>
      <c r="I123" s="56">
        <v>0.67708333333333337</v>
      </c>
      <c r="J123" s="4">
        <v>30</v>
      </c>
      <c r="K123" s="43"/>
      <c r="L123" s="45">
        <v>0.65625</v>
      </c>
      <c r="M123" s="56">
        <v>0.67708333333333337</v>
      </c>
      <c r="N123" s="4">
        <v>30</v>
      </c>
      <c r="O123" s="6" t="s">
        <v>107</v>
      </c>
      <c r="P123" s="4" t="s">
        <v>550</v>
      </c>
      <c r="Q123" s="10" t="s">
        <v>808</v>
      </c>
      <c r="R123" s="4"/>
      <c r="S123" s="50">
        <v>1.5</v>
      </c>
      <c r="T123" s="48">
        <v>40</v>
      </c>
      <c r="U123" s="4">
        <v>48</v>
      </c>
      <c r="V123" s="4">
        <f t="shared" si="2"/>
        <v>60</v>
      </c>
      <c r="W123" s="4">
        <f t="shared" si="3"/>
        <v>72</v>
      </c>
      <c r="X123" s="4"/>
      <c r="Y123" s="4"/>
    </row>
    <row r="124" spans="1:25" x14ac:dyDescent="0.35">
      <c r="A124" s="8" t="s">
        <v>209</v>
      </c>
      <c r="B124" s="10" t="s">
        <v>40</v>
      </c>
      <c r="C124" s="4" t="s">
        <v>314</v>
      </c>
      <c r="D124" s="4" t="s">
        <v>315</v>
      </c>
      <c r="E124" s="4" t="s">
        <v>210</v>
      </c>
      <c r="F124" s="4" t="s">
        <v>316</v>
      </c>
      <c r="G124" s="5">
        <v>42669</v>
      </c>
      <c r="H124" s="52">
        <v>0.41666666666666669</v>
      </c>
      <c r="I124" s="43">
        <v>0.47916666666666669</v>
      </c>
      <c r="J124" s="4">
        <v>90</v>
      </c>
      <c r="K124" s="43"/>
      <c r="L124" s="52">
        <v>0.41666666666666669</v>
      </c>
      <c r="M124" s="43">
        <v>0.47916666666666669</v>
      </c>
      <c r="N124" s="4">
        <v>90</v>
      </c>
      <c r="O124" s="6" t="s">
        <v>26</v>
      </c>
      <c r="P124" s="4" t="s">
        <v>336</v>
      </c>
      <c r="Q124" s="4"/>
      <c r="R124" s="4"/>
      <c r="S124" s="53">
        <v>1.5</v>
      </c>
      <c r="T124" s="48">
        <v>37</v>
      </c>
      <c r="U124" s="4">
        <v>48</v>
      </c>
      <c r="V124" s="4">
        <f t="shared" si="2"/>
        <v>55.5</v>
      </c>
      <c r="W124" s="4">
        <f t="shared" si="3"/>
        <v>72</v>
      </c>
      <c r="X124" s="4"/>
      <c r="Y124" s="4" t="s">
        <v>213</v>
      </c>
    </row>
    <row r="125" spans="1:25" x14ac:dyDescent="0.35">
      <c r="A125" s="8" t="s">
        <v>209</v>
      </c>
      <c r="B125" s="10" t="s">
        <v>40</v>
      </c>
      <c r="C125" s="4" t="s">
        <v>314</v>
      </c>
      <c r="D125" s="4" t="s">
        <v>315</v>
      </c>
      <c r="E125" s="4" t="s">
        <v>210</v>
      </c>
      <c r="F125" s="4" t="s">
        <v>316</v>
      </c>
      <c r="G125" s="5">
        <v>42669</v>
      </c>
      <c r="H125" s="45">
        <v>0.47916666666666669</v>
      </c>
      <c r="I125" s="43">
        <v>0.54166666666666674</v>
      </c>
      <c r="J125" s="4">
        <v>90</v>
      </c>
      <c r="K125" s="43"/>
      <c r="L125" s="45">
        <v>0.47916666666666669</v>
      </c>
      <c r="M125" s="43">
        <v>0.54166666666666674</v>
      </c>
      <c r="N125" s="4">
        <v>90</v>
      </c>
      <c r="O125" s="6" t="s">
        <v>26</v>
      </c>
      <c r="P125" s="4" t="s">
        <v>479</v>
      </c>
      <c r="Q125" s="59" t="s">
        <v>809</v>
      </c>
      <c r="R125" s="4"/>
      <c r="S125" s="53">
        <v>1.5</v>
      </c>
      <c r="T125" s="48">
        <v>37</v>
      </c>
      <c r="U125" s="4">
        <v>48</v>
      </c>
      <c r="V125" s="4">
        <f t="shared" si="2"/>
        <v>55.5</v>
      </c>
      <c r="W125" s="4">
        <f t="shared" si="3"/>
        <v>72</v>
      </c>
      <c r="X125" s="4"/>
      <c r="Y125" s="4" t="s">
        <v>213</v>
      </c>
    </row>
    <row r="126" spans="1:25" x14ac:dyDescent="0.35">
      <c r="A126" s="8" t="s">
        <v>209</v>
      </c>
      <c r="B126" s="10" t="s">
        <v>40</v>
      </c>
      <c r="C126" s="4" t="s">
        <v>314</v>
      </c>
      <c r="D126" s="4" t="s">
        <v>315</v>
      </c>
      <c r="E126" s="4" t="s">
        <v>210</v>
      </c>
      <c r="F126" s="4" t="s">
        <v>316</v>
      </c>
      <c r="G126" s="5">
        <v>42669</v>
      </c>
      <c r="H126" s="45">
        <v>0.55208333333333337</v>
      </c>
      <c r="I126" s="56">
        <v>0.5625</v>
      </c>
      <c r="J126" s="4">
        <v>15</v>
      </c>
      <c r="K126" s="43"/>
      <c r="L126" s="45">
        <v>0.55208333333333337</v>
      </c>
      <c r="M126" s="56">
        <v>0.5625</v>
      </c>
      <c r="N126" s="4">
        <v>15</v>
      </c>
      <c r="O126" s="6" t="s">
        <v>26</v>
      </c>
      <c r="P126" s="4" t="s">
        <v>169</v>
      </c>
      <c r="Q126" s="59" t="s">
        <v>809</v>
      </c>
      <c r="R126" s="4"/>
      <c r="S126" s="50">
        <v>3.5</v>
      </c>
      <c r="T126" s="48">
        <v>37</v>
      </c>
      <c r="U126" s="4">
        <v>48</v>
      </c>
      <c r="V126" s="4">
        <f t="shared" si="2"/>
        <v>129.5</v>
      </c>
      <c r="W126" s="4">
        <f t="shared" si="3"/>
        <v>168</v>
      </c>
      <c r="X126" s="4"/>
      <c r="Y126" s="4" t="s">
        <v>213</v>
      </c>
    </row>
    <row r="127" spans="1:25" x14ac:dyDescent="0.35">
      <c r="A127" s="8" t="s">
        <v>209</v>
      </c>
      <c r="B127" s="4" t="s">
        <v>23</v>
      </c>
      <c r="C127" s="4" t="s">
        <v>309</v>
      </c>
      <c r="D127" s="4" t="s">
        <v>310</v>
      </c>
      <c r="E127" s="4" t="s">
        <v>311</v>
      </c>
      <c r="F127" s="4" t="s">
        <v>312</v>
      </c>
      <c r="G127" s="5">
        <v>42670</v>
      </c>
      <c r="H127" s="52">
        <v>0.58333333333333337</v>
      </c>
      <c r="I127" s="43">
        <v>0.625</v>
      </c>
      <c r="J127" s="4">
        <v>60</v>
      </c>
      <c r="K127" s="43"/>
      <c r="L127" s="52">
        <v>0.58333333333333337</v>
      </c>
      <c r="M127" s="43">
        <v>0.625</v>
      </c>
      <c r="N127" s="4">
        <v>60</v>
      </c>
      <c r="O127" s="6" t="s">
        <v>110</v>
      </c>
      <c r="P127" s="4" t="s">
        <v>764</v>
      </c>
      <c r="Q127" s="4"/>
      <c r="R127" s="4"/>
      <c r="S127" s="53">
        <v>1</v>
      </c>
      <c r="T127" s="48">
        <v>37</v>
      </c>
      <c r="U127" s="4">
        <v>48</v>
      </c>
      <c r="V127" s="4">
        <f t="shared" si="2"/>
        <v>37</v>
      </c>
      <c r="W127" s="4">
        <f t="shared" si="3"/>
        <v>48</v>
      </c>
      <c r="X127" s="4"/>
      <c r="Y127" s="4"/>
    </row>
    <row r="128" spans="1:25" x14ac:dyDescent="0.35">
      <c r="A128" s="8" t="s">
        <v>209</v>
      </c>
      <c r="B128" s="10" t="s">
        <v>40</v>
      </c>
      <c r="C128" s="4" t="s">
        <v>309</v>
      </c>
      <c r="D128" s="4" t="s">
        <v>310</v>
      </c>
      <c r="E128" s="4" t="s">
        <v>311</v>
      </c>
      <c r="F128" s="4" t="s">
        <v>312</v>
      </c>
      <c r="G128" s="5">
        <v>42670</v>
      </c>
      <c r="H128" s="45">
        <v>0.625</v>
      </c>
      <c r="I128" s="56">
        <v>0.65625</v>
      </c>
      <c r="J128" s="4">
        <v>45</v>
      </c>
      <c r="K128" s="43"/>
      <c r="L128" s="45">
        <v>0.625</v>
      </c>
      <c r="M128" s="56">
        <v>0.65625</v>
      </c>
      <c r="N128" s="4">
        <v>45</v>
      </c>
      <c r="O128" s="6" t="s">
        <v>107</v>
      </c>
      <c r="P128" s="4" t="s">
        <v>452</v>
      </c>
      <c r="Q128" s="4"/>
      <c r="R128" s="4"/>
      <c r="S128" s="50">
        <v>1.75</v>
      </c>
      <c r="T128" s="48">
        <v>37</v>
      </c>
      <c r="U128" s="4">
        <v>48</v>
      </c>
      <c r="V128" s="4">
        <f t="shared" si="2"/>
        <v>64.75</v>
      </c>
      <c r="W128" s="4">
        <f t="shared" si="3"/>
        <v>84</v>
      </c>
      <c r="X128" s="4"/>
      <c r="Y128" s="4"/>
    </row>
    <row r="129" spans="1:25" x14ac:dyDescent="0.35">
      <c r="A129" s="8" t="s">
        <v>209</v>
      </c>
      <c r="B129" s="10" t="s">
        <v>40</v>
      </c>
      <c r="C129" s="4" t="s">
        <v>314</v>
      </c>
      <c r="D129" s="4" t="s">
        <v>777</v>
      </c>
      <c r="E129" s="4" t="s">
        <v>210</v>
      </c>
      <c r="F129" s="4" t="s">
        <v>778</v>
      </c>
      <c r="G129" s="5">
        <v>42670</v>
      </c>
      <c r="H129" s="52">
        <v>0.625</v>
      </c>
      <c r="I129" s="43">
        <v>0.64583333333333337</v>
      </c>
      <c r="J129" s="4">
        <v>30</v>
      </c>
      <c r="K129" s="43"/>
      <c r="L129" s="52">
        <v>0.625</v>
      </c>
      <c r="M129" s="43">
        <v>0.64583333333333337</v>
      </c>
      <c r="N129" s="4">
        <v>30</v>
      </c>
      <c r="O129" s="6" t="s">
        <v>53</v>
      </c>
      <c r="P129" s="4" t="s">
        <v>54</v>
      </c>
      <c r="Q129" s="4"/>
      <c r="R129" s="4"/>
      <c r="S129" s="53">
        <v>0.5</v>
      </c>
      <c r="T129" s="48">
        <v>37</v>
      </c>
      <c r="U129" s="4">
        <v>48</v>
      </c>
      <c r="V129" s="4">
        <f t="shared" si="2"/>
        <v>18.5</v>
      </c>
      <c r="W129" s="4">
        <f t="shared" si="3"/>
        <v>24</v>
      </c>
      <c r="X129" s="4"/>
      <c r="Y129" s="4"/>
    </row>
    <row r="130" spans="1:25" x14ac:dyDescent="0.35">
      <c r="A130" s="8" t="s">
        <v>209</v>
      </c>
      <c r="B130" s="10" t="s">
        <v>86</v>
      </c>
      <c r="C130" s="4" t="s">
        <v>314</v>
      </c>
      <c r="D130" s="4" t="s">
        <v>777</v>
      </c>
      <c r="E130" s="4" t="s">
        <v>210</v>
      </c>
      <c r="F130" s="4" t="s">
        <v>778</v>
      </c>
      <c r="G130" s="5">
        <v>42670</v>
      </c>
      <c r="H130" s="43">
        <v>0.64583333333333337</v>
      </c>
      <c r="I130" s="56">
        <v>0.66666666666666663</v>
      </c>
      <c r="J130" s="4">
        <v>30</v>
      </c>
      <c r="K130" s="43"/>
      <c r="L130" s="43">
        <v>0.64583333333333337</v>
      </c>
      <c r="M130" s="56">
        <v>0.66666666666666663</v>
      </c>
      <c r="N130" s="4">
        <v>30</v>
      </c>
      <c r="O130" s="4" t="s">
        <v>179</v>
      </c>
      <c r="P130" s="4" t="s">
        <v>50</v>
      </c>
      <c r="Q130" s="4"/>
      <c r="R130" s="4"/>
      <c r="S130" s="50">
        <v>1</v>
      </c>
      <c r="T130" s="48">
        <v>37</v>
      </c>
      <c r="U130" s="4">
        <v>48</v>
      </c>
      <c r="V130" s="4">
        <f t="shared" ref="V130:V193" si="4">T130*S130</f>
        <v>37</v>
      </c>
      <c r="W130" s="4">
        <f t="shared" ref="W130:W193" si="5">U130*S130</f>
        <v>48</v>
      </c>
      <c r="X130" s="4"/>
      <c r="Y130" s="4"/>
    </row>
    <row r="131" spans="1:25" x14ac:dyDescent="0.35">
      <c r="A131" s="8" t="s">
        <v>238</v>
      </c>
      <c r="B131" s="11" t="s">
        <v>40</v>
      </c>
      <c r="C131" s="4" t="s">
        <v>351</v>
      </c>
      <c r="D131" s="4" t="s">
        <v>352</v>
      </c>
      <c r="E131" s="4" t="s">
        <v>162</v>
      </c>
      <c r="F131" s="4" t="s">
        <v>353</v>
      </c>
      <c r="G131" s="5">
        <v>42670</v>
      </c>
      <c r="H131" s="52">
        <v>0.54166666666666663</v>
      </c>
      <c r="I131" s="43">
        <v>0.5625</v>
      </c>
      <c r="J131" s="4">
        <v>30</v>
      </c>
      <c r="K131" s="43"/>
      <c r="L131" s="52">
        <v>0.54166666666666663</v>
      </c>
      <c r="M131" s="43">
        <v>0.5625</v>
      </c>
      <c r="N131" s="4">
        <v>30</v>
      </c>
      <c r="O131" s="9" t="s">
        <v>49</v>
      </c>
      <c r="P131" s="4"/>
      <c r="Q131" s="4"/>
      <c r="R131" s="4"/>
      <c r="S131" s="53">
        <v>0.5</v>
      </c>
      <c r="T131" s="48">
        <v>35</v>
      </c>
      <c r="U131" s="4">
        <v>48</v>
      </c>
      <c r="V131" s="4">
        <f t="shared" si="4"/>
        <v>17.5</v>
      </c>
      <c r="W131" s="4">
        <f t="shared" si="5"/>
        <v>24</v>
      </c>
      <c r="X131" s="4"/>
      <c r="Y131" s="4"/>
    </row>
    <row r="132" spans="1:25" x14ac:dyDescent="0.35">
      <c r="A132" s="8" t="s">
        <v>238</v>
      </c>
      <c r="B132" s="11" t="s">
        <v>40</v>
      </c>
      <c r="C132" s="4" t="s">
        <v>351</v>
      </c>
      <c r="D132" s="4" t="s">
        <v>352</v>
      </c>
      <c r="E132" s="4" t="s">
        <v>162</v>
      </c>
      <c r="F132" s="4" t="s">
        <v>353</v>
      </c>
      <c r="G132" s="5">
        <v>42670</v>
      </c>
      <c r="H132" s="45">
        <v>0.58333333333333337</v>
      </c>
      <c r="I132" s="43">
        <v>0.64583333333333337</v>
      </c>
      <c r="J132" s="4">
        <v>90</v>
      </c>
      <c r="K132" s="43"/>
      <c r="L132" s="45">
        <v>0.58333333333333337</v>
      </c>
      <c r="M132" s="43">
        <v>0.64583333333333337</v>
      </c>
      <c r="N132" s="4">
        <v>90</v>
      </c>
      <c r="O132" s="6" t="s">
        <v>26</v>
      </c>
      <c r="P132" s="4" t="s">
        <v>376</v>
      </c>
      <c r="Q132" s="4"/>
      <c r="R132" s="4"/>
      <c r="S132" s="53">
        <v>1.5</v>
      </c>
      <c r="T132" s="48">
        <v>35</v>
      </c>
      <c r="U132" s="4">
        <v>48</v>
      </c>
      <c r="V132" s="4">
        <f t="shared" si="4"/>
        <v>52.5</v>
      </c>
      <c r="W132" s="4">
        <f t="shared" si="5"/>
        <v>72</v>
      </c>
      <c r="X132" s="4"/>
      <c r="Y132" s="4" t="s">
        <v>227</v>
      </c>
    </row>
    <row r="133" spans="1:25" x14ac:dyDescent="0.35">
      <c r="A133" s="8" t="s">
        <v>238</v>
      </c>
      <c r="B133" s="11" t="s">
        <v>40</v>
      </c>
      <c r="C133" s="4" t="s">
        <v>351</v>
      </c>
      <c r="D133" s="4" t="s">
        <v>352</v>
      </c>
      <c r="E133" s="4" t="s">
        <v>162</v>
      </c>
      <c r="F133" s="4" t="s">
        <v>353</v>
      </c>
      <c r="G133" s="5">
        <v>42670</v>
      </c>
      <c r="H133" s="45">
        <v>0.60416666666666663</v>
      </c>
      <c r="I133" s="43">
        <v>0.625</v>
      </c>
      <c r="J133" s="4">
        <v>30</v>
      </c>
      <c r="K133" s="43"/>
      <c r="L133" s="45">
        <v>0.60416666666666663</v>
      </c>
      <c r="M133" s="43">
        <v>0.625</v>
      </c>
      <c r="N133" s="4">
        <v>30</v>
      </c>
      <c r="O133" s="6" t="s">
        <v>110</v>
      </c>
      <c r="P133" s="4" t="s">
        <v>790</v>
      </c>
      <c r="Q133" s="59" t="s">
        <v>811</v>
      </c>
      <c r="R133" s="4"/>
      <c r="S133" s="53">
        <v>0</v>
      </c>
      <c r="T133" s="48">
        <v>35</v>
      </c>
      <c r="U133" s="4">
        <v>48</v>
      </c>
      <c r="V133" s="4">
        <f t="shared" si="4"/>
        <v>0</v>
      </c>
      <c r="W133" s="4">
        <f t="shared" si="5"/>
        <v>0</v>
      </c>
      <c r="X133" s="4"/>
      <c r="Y133" s="4" t="s">
        <v>227</v>
      </c>
    </row>
    <row r="134" spans="1:25" x14ac:dyDescent="0.35">
      <c r="A134" s="8" t="s">
        <v>238</v>
      </c>
      <c r="B134" s="4" t="s">
        <v>23</v>
      </c>
      <c r="C134" s="4" t="s">
        <v>351</v>
      </c>
      <c r="D134" s="4" t="s">
        <v>352</v>
      </c>
      <c r="E134" s="4" t="s">
        <v>162</v>
      </c>
      <c r="F134" s="4" t="s">
        <v>353</v>
      </c>
      <c r="G134" s="5">
        <v>42670</v>
      </c>
      <c r="H134" s="45">
        <v>0.64583333333333337</v>
      </c>
      <c r="I134" s="43">
        <v>0.66666666666666674</v>
      </c>
      <c r="J134" s="4">
        <v>30</v>
      </c>
      <c r="K134" s="43"/>
      <c r="L134" s="45">
        <v>0.64583333333333337</v>
      </c>
      <c r="M134" s="43">
        <v>0.66666666666666674</v>
      </c>
      <c r="N134" s="4">
        <v>30</v>
      </c>
      <c r="O134" s="6" t="s">
        <v>49</v>
      </c>
      <c r="P134" s="4" t="s">
        <v>50</v>
      </c>
      <c r="Q134" s="4"/>
      <c r="R134" s="4"/>
      <c r="S134" s="53">
        <v>0.5</v>
      </c>
      <c r="T134" s="48">
        <v>35</v>
      </c>
      <c r="U134" s="4">
        <v>48</v>
      </c>
      <c r="V134" s="4">
        <f t="shared" si="4"/>
        <v>17.5</v>
      </c>
      <c r="W134" s="4">
        <f t="shared" si="5"/>
        <v>24</v>
      </c>
      <c r="X134" s="4" t="s">
        <v>771</v>
      </c>
      <c r="Y134" s="4"/>
    </row>
    <row r="135" spans="1:25" x14ac:dyDescent="0.35">
      <c r="A135" s="8" t="s">
        <v>238</v>
      </c>
      <c r="B135" s="11" t="s">
        <v>40</v>
      </c>
      <c r="C135" s="4" t="s">
        <v>351</v>
      </c>
      <c r="D135" s="4" t="s">
        <v>352</v>
      </c>
      <c r="E135" s="4" t="s">
        <v>162</v>
      </c>
      <c r="F135" s="4" t="s">
        <v>353</v>
      </c>
      <c r="G135" s="5">
        <v>42670</v>
      </c>
      <c r="H135" s="45">
        <v>0.64583333333333337</v>
      </c>
      <c r="I135" s="43">
        <v>0.72916666666666674</v>
      </c>
      <c r="J135" s="4">
        <v>120</v>
      </c>
      <c r="K135" s="43"/>
      <c r="L135" s="45">
        <v>0.64583333333333337</v>
      </c>
      <c r="M135" s="43">
        <v>0.72916666666666674</v>
      </c>
      <c r="N135" s="4">
        <v>120</v>
      </c>
      <c r="O135" s="6" t="s">
        <v>26</v>
      </c>
      <c r="P135" s="4" t="s">
        <v>175</v>
      </c>
      <c r="Q135" s="59" t="s">
        <v>811</v>
      </c>
      <c r="R135" s="4"/>
      <c r="S135" s="53">
        <v>1.5</v>
      </c>
      <c r="T135" s="48">
        <v>35</v>
      </c>
      <c r="U135" s="4">
        <v>48</v>
      </c>
      <c r="V135" s="4">
        <f t="shared" si="4"/>
        <v>52.5</v>
      </c>
      <c r="W135" s="4">
        <f t="shared" si="5"/>
        <v>72</v>
      </c>
      <c r="X135" s="4"/>
      <c r="Y135" s="4" t="s">
        <v>227</v>
      </c>
    </row>
    <row r="136" spans="1:25" x14ac:dyDescent="0.35">
      <c r="A136" s="8" t="s">
        <v>238</v>
      </c>
      <c r="B136" s="4" t="s">
        <v>23</v>
      </c>
      <c r="C136" s="4" t="s">
        <v>351</v>
      </c>
      <c r="D136" s="4" t="s">
        <v>352</v>
      </c>
      <c r="E136" s="4" t="s">
        <v>162</v>
      </c>
      <c r="F136" s="4" t="s">
        <v>353</v>
      </c>
      <c r="G136" s="5">
        <v>42670</v>
      </c>
      <c r="H136" s="45">
        <v>0.6875</v>
      </c>
      <c r="I136" s="43">
        <v>0.75</v>
      </c>
      <c r="J136" s="4">
        <v>90</v>
      </c>
      <c r="K136" s="43"/>
      <c r="L136" s="45">
        <v>0.6875</v>
      </c>
      <c r="M136" s="43">
        <v>0.75</v>
      </c>
      <c r="N136" s="4">
        <v>90</v>
      </c>
      <c r="O136" s="6" t="s">
        <v>26</v>
      </c>
      <c r="P136" s="4" t="s">
        <v>376</v>
      </c>
      <c r="Q136" s="59" t="s">
        <v>811</v>
      </c>
      <c r="R136" s="4"/>
      <c r="S136" s="53">
        <v>0.5</v>
      </c>
      <c r="T136" s="48">
        <v>35</v>
      </c>
      <c r="U136" s="4">
        <v>48</v>
      </c>
      <c r="V136" s="4">
        <f t="shared" si="4"/>
        <v>17.5</v>
      </c>
      <c r="W136" s="4">
        <f t="shared" si="5"/>
        <v>24</v>
      </c>
      <c r="X136" s="4"/>
      <c r="Y136" s="4"/>
    </row>
    <row r="137" spans="1:25" x14ac:dyDescent="0.35">
      <c r="A137" s="8" t="s">
        <v>238</v>
      </c>
      <c r="B137" s="4" t="s">
        <v>23</v>
      </c>
      <c r="C137" s="4" t="s">
        <v>351</v>
      </c>
      <c r="D137" s="4" t="s">
        <v>352</v>
      </c>
      <c r="E137" s="4" t="s">
        <v>162</v>
      </c>
      <c r="F137" s="4" t="s">
        <v>353</v>
      </c>
      <c r="G137" s="5">
        <v>42670</v>
      </c>
      <c r="H137" s="45">
        <v>0.75</v>
      </c>
      <c r="I137" s="56">
        <v>0.83333333333333337</v>
      </c>
      <c r="J137" s="4">
        <v>120</v>
      </c>
      <c r="K137" s="43"/>
      <c r="L137" s="45">
        <v>0.75</v>
      </c>
      <c r="M137" s="56">
        <v>0.83333333333333337</v>
      </c>
      <c r="N137" s="4">
        <v>120</v>
      </c>
      <c r="O137" s="6" t="s">
        <v>26</v>
      </c>
      <c r="P137" s="4" t="s">
        <v>175</v>
      </c>
      <c r="Q137" s="4"/>
      <c r="R137" s="4"/>
      <c r="S137" s="50">
        <v>7</v>
      </c>
      <c r="T137" s="48">
        <v>35</v>
      </c>
      <c r="U137" s="4">
        <v>48</v>
      </c>
      <c r="V137" s="4">
        <f t="shared" si="4"/>
        <v>245</v>
      </c>
      <c r="W137" s="4">
        <f t="shared" si="5"/>
        <v>336</v>
      </c>
      <c r="X137" s="4"/>
      <c r="Y137" s="4"/>
    </row>
    <row r="138" spans="1:25" x14ac:dyDescent="0.35">
      <c r="A138" s="8" t="s">
        <v>598</v>
      </c>
      <c r="B138" s="4" t="s">
        <v>23</v>
      </c>
      <c r="C138" s="4" t="s">
        <v>599</v>
      </c>
      <c r="D138" s="4" t="s">
        <v>600</v>
      </c>
      <c r="E138" s="4" t="s">
        <v>24</v>
      </c>
      <c r="F138" s="4" t="s">
        <v>601</v>
      </c>
      <c r="G138" s="5">
        <v>42669</v>
      </c>
      <c r="H138" s="52">
        <v>0.4236111111111111</v>
      </c>
      <c r="I138" s="43">
        <v>0.46527777777777779</v>
      </c>
      <c r="J138" s="4">
        <v>60</v>
      </c>
      <c r="K138" s="43"/>
      <c r="L138" s="52">
        <v>0.4236111111111111</v>
      </c>
      <c r="M138" s="43">
        <v>0.46527777777777779</v>
      </c>
      <c r="N138" s="4">
        <v>60</v>
      </c>
      <c r="O138" s="14" t="s">
        <v>59</v>
      </c>
      <c r="P138" s="4" t="s">
        <v>60</v>
      </c>
      <c r="Q138" s="4"/>
      <c r="R138" s="4"/>
      <c r="S138" s="53">
        <v>1</v>
      </c>
      <c r="T138" s="48">
        <v>27</v>
      </c>
      <c r="U138" s="4">
        <v>48</v>
      </c>
      <c r="V138" s="4">
        <f t="shared" si="4"/>
        <v>27</v>
      </c>
      <c r="W138" s="4">
        <f t="shared" si="5"/>
        <v>48</v>
      </c>
      <c r="X138" s="4"/>
      <c r="Y138" s="4"/>
    </row>
    <row r="139" spans="1:25" x14ac:dyDescent="0.35">
      <c r="A139" s="8" t="s">
        <v>598</v>
      </c>
      <c r="B139" s="4" t="s">
        <v>23</v>
      </c>
      <c r="C139" s="4" t="s">
        <v>599</v>
      </c>
      <c r="D139" s="4" t="s">
        <v>600</v>
      </c>
      <c r="E139" s="4" t="s">
        <v>24</v>
      </c>
      <c r="F139" s="4" t="s">
        <v>601</v>
      </c>
      <c r="G139" s="5">
        <v>42669</v>
      </c>
      <c r="H139" s="45">
        <v>0.5</v>
      </c>
      <c r="I139" s="56">
        <v>0.54166666666666663</v>
      </c>
      <c r="J139" s="4">
        <v>60</v>
      </c>
      <c r="K139" s="43"/>
      <c r="L139" s="45">
        <v>0.5</v>
      </c>
      <c r="M139" s="56">
        <v>0.54166666666666663</v>
      </c>
      <c r="N139" s="4">
        <v>60</v>
      </c>
      <c r="O139" s="14" t="s">
        <v>93</v>
      </c>
      <c r="P139" s="4" t="s">
        <v>303</v>
      </c>
      <c r="Q139" s="59" t="s">
        <v>809</v>
      </c>
      <c r="R139" s="4"/>
      <c r="S139" s="50">
        <v>3</v>
      </c>
      <c r="T139" s="48">
        <v>27</v>
      </c>
      <c r="U139" s="4">
        <v>48</v>
      </c>
      <c r="V139" s="4">
        <f t="shared" si="4"/>
        <v>81</v>
      </c>
      <c r="W139" s="4">
        <f t="shared" si="5"/>
        <v>144</v>
      </c>
      <c r="X139" s="4" t="s">
        <v>51</v>
      </c>
      <c r="Y139" s="4"/>
    </row>
    <row r="140" spans="1:25" x14ac:dyDescent="0.35">
      <c r="A140" s="20" t="s">
        <v>602</v>
      </c>
      <c r="B140" s="4" t="s">
        <v>23</v>
      </c>
      <c r="C140" s="4" t="s">
        <v>603</v>
      </c>
      <c r="D140" s="4" t="s">
        <v>604</v>
      </c>
      <c r="E140" s="4" t="s">
        <v>289</v>
      </c>
      <c r="F140" s="4" t="s">
        <v>605</v>
      </c>
      <c r="G140" s="5">
        <v>42669</v>
      </c>
      <c r="H140" s="52">
        <v>0.42708333333333331</v>
      </c>
      <c r="I140" s="43">
        <v>0.4375</v>
      </c>
      <c r="J140" s="4">
        <v>15</v>
      </c>
      <c r="K140" s="43"/>
      <c r="L140" s="52">
        <v>0.42708333333333331</v>
      </c>
      <c r="M140" s="43">
        <v>0.4375</v>
      </c>
      <c r="N140" s="4">
        <v>15</v>
      </c>
      <c r="O140" s="4" t="s">
        <v>120</v>
      </c>
      <c r="P140" s="4" t="s">
        <v>121</v>
      </c>
      <c r="Q140" s="4"/>
      <c r="R140" s="4"/>
      <c r="S140" s="53">
        <v>0.25</v>
      </c>
      <c r="T140" s="48">
        <v>27</v>
      </c>
      <c r="U140" s="4">
        <v>48</v>
      </c>
      <c r="V140" s="4">
        <f t="shared" si="4"/>
        <v>6.75</v>
      </c>
      <c r="W140" s="4">
        <f t="shared" si="5"/>
        <v>12</v>
      </c>
      <c r="X140" s="4"/>
      <c r="Y140" s="4"/>
    </row>
    <row r="141" spans="1:25" x14ac:dyDescent="0.35">
      <c r="A141" s="20" t="s">
        <v>602</v>
      </c>
      <c r="B141" s="4" t="s">
        <v>23</v>
      </c>
      <c r="C141" s="4" t="s">
        <v>603</v>
      </c>
      <c r="D141" s="4" t="s">
        <v>604</v>
      </c>
      <c r="E141" s="4" t="s">
        <v>289</v>
      </c>
      <c r="F141" s="4" t="s">
        <v>605</v>
      </c>
      <c r="G141" s="5">
        <v>42669</v>
      </c>
      <c r="H141" s="43">
        <v>0.4375</v>
      </c>
      <c r="I141" s="43">
        <v>0.44791666666666669</v>
      </c>
      <c r="J141" s="4">
        <v>15</v>
      </c>
      <c r="K141" s="43"/>
      <c r="L141" s="43">
        <v>0.4375</v>
      </c>
      <c r="M141" s="43">
        <v>0.44791666666666669</v>
      </c>
      <c r="N141" s="4">
        <v>15</v>
      </c>
      <c r="O141" s="4" t="s">
        <v>138</v>
      </c>
      <c r="P141" s="4" t="s">
        <v>243</v>
      </c>
      <c r="Q141" s="4"/>
      <c r="R141" s="4"/>
      <c r="S141" s="53">
        <v>0.25</v>
      </c>
      <c r="T141" s="48">
        <v>27</v>
      </c>
      <c r="U141" s="4">
        <v>48</v>
      </c>
      <c r="V141" s="4">
        <f t="shared" si="4"/>
        <v>6.75</v>
      </c>
      <c r="W141" s="4">
        <f t="shared" si="5"/>
        <v>12</v>
      </c>
      <c r="X141" s="4"/>
      <c r="Y141" s="4"/>
    </row>
    <row r="142" spans="1:25" x14ac:dyDescent="0.35">
      <c r="A142" s="20" t="s">
        <v>602</v>
      </c>
      <c r="B142" s="4" t="s">
        <v>23</v>
      </c>
      <c r="C142" s="4" t="s">
        <v>603</v>
      </c>
      <c r="D142" s="4" t="s">
        <v>604</v>
      </c>
      <c r="E142" s="4" t="s">
        <v>289</v>
      </c>
      <c r="F142" s="4" t="s">
        <v>605</v>
      </c>
      <c r="G142" s="5">
        <v>42669</v>
      </c>
      <c r="H142" s="43">
        <v>0.45833333333333331</v>
      </c>
      <c r="I142" s="56">
        <v>0.5</v>
      </c>
      <c r="J142" s="4">
        <v>60</v>
      </c>
      <c r="K142" s="43"/>
      <c r="L142" s="43">
        <v>0.45833333333333331</v>
      </c>
      <c r="M142" s="56">
        <v>0.5</v>
      </c>
      <c r="N142" s="4">
        <v>60</v>
      </c>
      <c r="O142" s="4" t="s">
        <v>179</v>
      </c>
      <c r="P142" s="4" t="s">
        <v>147</v>
      </c>
      <c r="Q142" s="4"/>
      <c r="R142" s="4"/>
      <c r="S142" s="50">
        <v>1.75</v>
      </c>
      <c r="T142" s="48">
        <v>27</v>
      </c>
      <c r="U142" s="4">
        <v>48</v>
      </c>
      <c r="V142" s="4">
        <f t="shared" si="4"/>
        <v>47.25</v>
      </c>
      <c r="W142" s="4">
        <f t="shared" si="5"/>
        <v>84</v>
      </c>
      <c r="X142" s="4"/>
      <c r="Y142" s="4"/>
    </row>
    <row r="143" spans="1:25" x14ac:dyDescent="0.35">
      <c r="A143" s="8" t="s">
        <v>118</v>
      </c>
      <c r="B143" s="4" t="s">
        <v>23</v>
      </c>
      <c r="C143" s="4" t="s">
        <v>501</v>
      </c>
      <c r="D143" s="4" t="s">
        <v>502</v>
      </c>
      <c r="E143" s="4" t="s">
        <v>119</v>
      </c>
      <c r="F143" s="4" t="s">
        <v>503</v>
      </c>
      <c r="G143" s="5">
        <v>42669</v>
      </c>
      <c r="H143" s="52">
        <v>0.47916666666666669</v>
      </c>
      <c r="I143" s="56">
        <v>0.5</v>
      </c>
      <c r="J143" s="4">
        <v>30</v>
      </c>
      <c r="K143" s="43"/>
      <c r="L143" s="52">
        <v>0.47916666666666669</v>
      </c>
      <c r="M143" s="56">
        <v>0.5</v>
      </c>
      <c r="N143" s="4">
        <v>30</v>
      </c>
      <c r="O143" s="6" t="s">
        <v>156</v>
      </c>
      <c r="P143" s="4" t="s">
        <v>269</v>
      </c>
      <c r="Q143" s="4"/>
      <c r="R143" s="4"/>
      <c r="S143" s="50">
        <v>1</v>
      </c>
      <c r="T143" s="48">
        <v>25</v>
      </c>
      <c r="U143" s="4">
        <v>48</v>
      </c>
      <c r="V143" s="4">
        <f t="shared" si="4"/>
        <v>25</v>
      </c>
      <c r="W143" s="4">
        <f t="shared" si="5"/>
        <v>48</v>
      </c>
      <c r="X143" s="4"/>
      <c r="Y143" s="4"/>
    </row>
    <row r="144" spans="1:25" x14ac:dyDescent="0.35">
      <c r="A144" s="8" t="s">
        <v>500</v>
      </c>
      <c r="B144" s="4" t="s">
        <v>23</v>
      </c>
      <c r="C144" s="4" t="s">
        <v>501</v>
      </c>
      <c r="D144" s="4" t="s">
        <v>502</v>
      </c>
      <c r="E144" s="4" t="s">
        <v>119</v>
      </c>
      <c r="F144" s="4" t="s">
        <v>503</v>
      </c>
      <c r="G144" s="5">
        <v>42668</v>
      </c>
      <c r="H144" s="52">
        <v>0.4201388888888889</v>
      </c>
      <c r="I144" s="56">
        <v>0.4375</v>
      </c>
      <c r="J144" s="4">
        <v>25</v>
      </c>
      <c r="K144" s="43"/>
      <c r="L144" s="52">
        <v>0.4201388888888889</v>
      </c>
      <c r="M144" s="56">
        <v>0.4375</v>
      </c>
      <c r="N144" s="4">
        <v>25</v>
      </c>
      <c r="O144" s="6" t="s">
        <v>181</v>
      </c>
      <c r="P144" s="4" t="s">
        <v>239</v>
      </c>
      <c r="Q144" s="4"/>
      <c r="R144" s="4"/>
      <c r="S144" s="50">
        <v>1</v>
      </c>
      <c r="T144" s="4"/>
      <c r="U144" s="4">
        <v>48</v>
      </c>
      <c r="V144" s="4">
        <f t="shared" si="4"/>
        <v>0</v>
      </c>
      <c r="W144" s="4">
        <f t="shared" si="5"/>
        <v>48</v>
      </c>
      <c r="X144" s="4"/>
      <c r="Y144" s="4"/>
    </row>
    <row r="145" spans="1:25" x14ac:dyDescent="0.35">
      <c r="A145" s="8" t="s">
        <v>304</v>
      </c>
      <c r="B145" s="10" t="s">
        <v>86</v>
      </c>
      <c r="C145" s="4" t="s">
        <v>297</v>
      </c>
      <c r="D145" s="4" t="s">
        <v>298</v>
      </c>
      <c r="E145" s="4" t="s">
        <v>37</v>
      </c>
      <c r="F145" s="4" t="s">
        <v>299</v>
      </c>
      <c r="G145" s="5">
        <v>42669</v>
      </c>
      <c r="H145" s="52">
        <v>0.39583333333333331</v>
      </c>
      <c r="I145" s="43">
        <v>0.41666666666666663</v>
      </c>
      <c r="J145" s="4">
        <v>30</v>
      </c>
      <c r="K145" s="43"/>
      <c r="L145" s="52">
        <v>0.39583333333333331</v>
      </c>
      <c r="M145" s="43">
        <v>0.41666666666666663</v>
      </c>
      <c r="N145" s="4">
        <v>30</v>
      </c>
      <c r="O145" s="6" t="s">
        <v>177</v>
      </c>
      <c r="P145" s="4" t="s">
        <v>50</v>
      </c>
      <c r="Q145" s="4"/>
      <c r="R145" s="4"/>
      <c r="S145" s="53">
        <v>0.5</v>
      </c>
      <c r="T145" s="48">
        <v>25</v>
      </c>
      <c r="U145" s="4">
        <v>48</v>
      </c>
      <c r="V145" s="4">
        <f t="shared" si="4"/>
        <v>12.5</v>
      </c>
      <c r="W145" s="4">
        <f t="shared" si="5"/>
        <v>24</v>
      </c>
      <c r="X145" s="4"/>
      <c r="Y145" s="4"/>
    </row>
    <row r="146" spans="1:25" x14ac:dyDescent="0.35">
      <c r="A146" s="8" t="s">
        <v>304</v>
      </c>
      <c r="B146" s="4" t="s">
        <v>23</v>
      </c>
      <c r="C146" s="4" t="s">
        <v>297</v>
      </c>
      <c r="D146" s="4" t="s">
        <v>298</v>
      </c>
      <c r="E146" s="4" t="s">
        <v>37</v>
      </c>
      <c r="F146" s="4" t="s">
        <v>299</v>
      </c>
      <c r="G146" s="5">
        <v>42669</v>
      </c>
      <c r="H146" s="45">
        <v>0.4375</v>
      </c>
      <c r="I146" s="43">
        <v>0.45833333333333331</v>
      </c>
      <c r="J146" s="4">
        <v>30</v>
      </c>
      <c r="K146" s="43"/>
      <c r="L146" s="45">
        <v>0.4375</v>
      </c>
      <c r="M146" s="43">
        <v>0.45833333333333331</v>
      </c>
      <c r="N146" s="4">
        <v>30</v>
      </c>
      <c r="O146" s="6" t="s">
        <v>177</v>
      </c>
      <c r="P146" s="4"/>
      <c r="Q146" s="4"/>
      <c r="R146" s="4"/>
      <c r="S146" s="53">
        <v>0.5</v>
      </c>
      <c r="T146" s="48">
        <v>25</v>
      </c>
      <c r="U146" s="4">
        <v>48</v>
      </c>
      <c r="V146" s="4">
        <f t="shared" si="4"/>
        <v>12.5</v>
      </c>
      <c r="W146" s="4">
        <f t="shared" si="5"/>
        <v>24</v>
      </c>
      <c r="X146" s="4"/>
      <c r="Y146" s="4"/>
    </row>
    <row r="147" spans="1:25" x14ac:dyDescent="0.35">
      <c r="A147" s="8" t="s">
        <v>304</v>
      </c>
      <c r="B147" s="4" t="s">
        <v>23</v>
      </c>
      <c r="C147" s="4" t="s">
        <v>297</v>
      </c>
      <c r="D147" s="4" t="s">
        <v>298</v>
      </c>
      <c r="E147" s="4" t="s">
        <v>37</v>
      </c>
      <c r="F147" s="4" t="s">
        <v>299</v>
      </c>
      <c r="G147" s="5">
        <v>42669</v>
      </c>
      <c r="H147" s="45">
        <v>0.5</v>
      </c>
      <c r="I147" s="56">
        <v>0.58333333333333337</v>
      </c>
      <c r="J147" s="4">
        <v>120</v>
      </c>
      <c r="K147" s="43"/>
      <c r="L147" s="45">
        <v>0.5</v>
      </c>
      <c r="M147" s="56">
        <v>0.58333333333333337</v>
      </c>
      <c r="N147" s="4">
        <v>120</v>
      </c>
      <c r="O147" s="6" t="s">
        <v>26</v>
      </c>
      <c r="P147" s="4" t="s">
        <v>175</v>
      </c>
      <c r="Q147" s="59" t="s">
        <v>809</v>
      </c>
      <c r="R147" s="4"/>
      <c r="S147" s="50">
        <v>4.5</v>
      </c>
      <c r="T147" s="48">
        <v>25</v>
      </c>
      <c r="U147" s="4">
        <v>48</v>
      </c>
      <c r="V147" s="4">
        <f t="shared" si="4"/>
        <v>112.5</v>
      </c>
      <c r="W147" s="4">
        <f t="shared" si="5"/>
        <v>216</v>
      </c>
      <c r="X147" s="4"/>
      <c r="Y147" s="4"/>
    </row>
    <row r="148" spans="1:25" x14ac:dyDescent="0.35">
      <c r="A148" s="8" t="s">
        <v>400</v>
      </c>
      <c r="B148" s="11" t="s">
        <v>40</v>
      </c>
      <c r="C148" s="9" t="s">
        <v>714</v>
      </c>
      <c r="D148" s="9" t="s">
        <v>715</v>
      </c>
      <c r="E148" s="4" t="s">
        <v>349</v>
      </c>
      <c r="F148" s="9" t="s">
        <v>716</v>
      </c>
      <c r="G148" s="19">
        <v>42669</v>
      </c>
      <c r="H148" s="52">
        <v>0.54166666666666663</v>
      </c>
      <c r="I148" s="44">
        <v>0.55208333333333337</v>
      </c>
      <c r="J148" s="9">
        <v>15</v>
      </c>
      <c r="K148" s="44"/>
      <c r="L148" s="52">
        <v>0.54166666666666663</v>
      </c>
      <c r="M148" s="44">
        <v>0.55208333333333337</v>
      </c>
      <c r="N148" s="9">
        <v>15</v>
      </c>
      <c r="O148" s="9" t="s">
        <v>138</v>
      </c>
      <c r="P148" s="9" t="s">
        <v>243</v>
      </c>
      <c r="Q148" s="9"/>
      <c r="R148" s="9"/>
      <c r="S148" s="55">
        <v>0.25</v>
      </c>
      <c r="T148" s="49">
        <v>27</v>
      </c>
      <c r="U148" s="9">
        <v>48</v>
      </c>
      <c r="V148" s="4">
        <f t="shared" si="4"/>
        <v>6.75</v>
      </c>
      <c r="W148" s="4">
        <f t="shared" si="5"/>
        <v>12</v>
      </c>
      <c r="X148" s="9"/>
      <c r="Y148" s="9"/>
    </row>
    <row r="149" spans="1:25" x14ac:dyDescent="0.35">
      <c r="A149" s="8" t="s">
        <v>400</v>
      </c>
      <c r="B149" s="11" t="s">
        <v>40</v>
      </c>
      <c r="C149" s="9" t="s">
        <v>714</v>
      </c>
      <c r="D149" s="9" t="s">
        <v>715</v>
      </c>
      <c r="E149" s="4" t="s">
        <v>349</v>
      </c>
      <c r="F149" s="9" t="s">
        <v>716</v>
      </c>
      <c r="G149" s="19">
        <v>42669</v>
      </c>
      <c r="H149" s="45">
        <v>0.5625</v>
      </c>
      <c r="I149" s="58">
        <v>0.60416666666666663</v>
      </c>
      <c r="J149" s="9">
        <v>60</v>
      </c>
      <c r="K149" s="44"/>
      <c r="L149" s="45">
        <v>0.5625</v>
      </c>
      <c r="M149" s="58">
        <v>0.60416666666666663</v>
      </c>
      <c r="N149" s="9">
        <v>60</v>
      </c>
      <c r="O149" s="9" t="s">
        <v>717</v>
      </c>
      <c r="P149" s="9" t="s">
        <v>147</v>
      </c>
      <c r="Q149" s="9"/>
      <c r="R149" s="9"/>
      <c r="S149" s="57">
        <v>1.5</v>
      </c>
      <c r="T149" s="49">
        <v>27</v>
      </c>
      <c r="U149" s="9">
        <v>48</v>
      </c>
      <c r="V149" s="4">
        <f t="shared" si="4"/>
        <v>40.5</v>
      </c>
      <c r="W149" s="4">
        <f t="shared" si="5"/>
        <v>72</v>
      </c>
      <c r="X149" s="9"/>
      <c r="Y149" s="9"/>
    </row>
    <row r="150" spans="1:25" x14ac:dyDescent="0.35">
      <c r="A150" s="8" t="s">
        <v>400</v>
      </c>
      <c r="B150" s="4" t="s">
        <v>23</v>
      </c>
      <c r="C150" s="4" t="s">
        <v>690</v>
      </c>
      <c r="D150" s="4" t="s">
        <v>691</v>
      </c>
      <c r="E150" s="4" t="s">
        <v>349</v>
      </c>
      <c r="F150" s="4" t="s">
        <v>692</v>
      </c>
      <c r="G150" s="5">
        <v>42669</v>
      </c>
      <c r="H150" s="52">
        <v>0.625</v>
      </c>
      <c r="I150" s="56">
        <v>0.66666666666666663</v>
      </c>
      <c r="J150" s="4">
        <v>60</v>
      </c>
      <c r="K150" s="43"/>
      <c r="L150" s="52">
        <v>0.625</v>
      </c>
      <c r="M150" s="56">
        <v>0.66666666666666663</v>
      </c>
      <c r="N150" s="4">
        <v>60</v>
      </c>
      <c r="O150" s="6" t="s">
        <v>693</v>
      </c>
      <c r="P150" s="4"/>
      <c r="Q150" s="4"/>
      <c r="R150" s="4"/>
      <c r="S150" s="50">
        <v>1</v>
      </c>
      <c r="T150" s="48">
        <v>27</v>
      </c>
      <c r="U150" s="4">
        <v>48</v>
      </c>
      <c r="V150" s="4">
        <f t="shared" si="4"/>
        <v>27</v>
      </c>
      <c r="W150" s="4">
        <f t="shared" si="5"/>
        <v>48</v>
      </c>
      <c r="X150" s="4"/>
      <c r="Y150" s="4"/>
    </row>
    <row r="151" spans="1:25" x14ac:dyDescent="0.35">
      <c r="A151" s="30" t="s">
        <v>674</v>
      </c>
      <c r="B151" s="4" t="s">
        <v>23</v>
      </c>
      <c r="C151" s="4" t="s">
        <v>242</v>
      </c>
      <c r="D151" s="4" t="s">
        <v>384</v>
      </c>
      <c r="E151" s="4" t="s">
        <v>162</v>
      </c>
      <c r="F151" s="4" t="s">
        <v>385</v>
      </c>
      <c r="G151" s="5">
        <v>42669</v>
      </c>
      <c r="H151" s="52">
        <v>0.58333333333333337</v>
      </c>
      <c r="I151" s="43">
        <v>0.60416666666666674</v>
      </c>
      <c r="J151" s="4">
        <v>30</v>
      </c>
      <c r="K151" s="43"/>
      <c r="L151" s="52">
        <v>0.58333333333333337</v>
      </c>
      <c r="M151" s="43">
        <v>0.60416666666666674</v>
      </c>
      <c r="N151" s="4">
        <v>30</v>
      </c>
      <c r="O151" s="4" t="s">
        <v>156</v>
      </c>
      <c r="P151" s="4" t="s">
        <v>50</v>
      </c>
      <c r="Q151" s="4"/>
      <c r="R151" s="4"/>
      <c r="S151" s="53">
        <v>0.5</v>
      </c>
      <c r="T151" s="48">
        <v>35</v>
      </c>
      <c r="U151" s="4">
        <v>48</v>
      </c>
      <c r="V151" s="4">
        <f t="shared" si="4"/>
        <v>17.5</v>
      </c>
      <c r="W151" s="4">
        <f t="shared" si="5"/>
        <v>24</v>
      </c>
      <c r="X151" s="4"/>
      <c r="Y151" s="4"/>
    </row>
    <row r="152" spans="1:25" x14ac:dyDescent="0.35">
      <c r="A152" s="30" t="s">
        <v>674</v>
      </c>
      <c r="B152" s="4" t="s">
        <v>23</v>
      </c>
      <c r="C152" s="4" t="s">
        <v>242</v>
      </c>
      <c r="D152" s="4" t="s">
        <v>384</v>
      </c>
      <c r="E152" s="4" t="s">
        <v>162</v>
      </c>
      <c r="F152" s="4" t="s">
        <v>385</v>
      </c>
      <c r="G152" s="5">
        <v>42669</v>
      </c>
      <c r="H152" s="43">
        <v>0.625</v>
      </c>
      <c r="I152" s="43">
        <v>0.66666666666666663</v>
      </c>
      <c r="J152" s="4">
        <v>60</v>
      </c>
      <c r="K152" s="43"/>
      <c r="L152" s="43">
        <v>0.625</v>
      </c>
      <c r="M152" s="43">
        <v>0.66666666666666663</v>
      </c>
      <c r="N152" s="4">
        <v>60</v>
      </c>
      <c r="O152" s="4" t="s">
        <v>26</v>
      </c>
      <c r="P152" s="4" t="s">
        <v>596</v>
      </c>
      <c r="Q152" s="4"/>
      <c r="R152" s="4"/>
      <c r="S152" s="53">
        <v>1</v>
      </c>
      <c r="T152" s="48">
        <v>35</v>
      </c>
      <c r="U152" s="4">
        <v>48</v>
      </c>
      <c r="V152" s="4">
        <f t="shared" si="4"/>
        <v>35</v>
      </c>
      <c r="W152" s="4">
        <f t="shared" si="5"/>
        <v>48</v>
      </c>
      <c r="X152" s="4"/>
      <c r="Y152" s="4"/>
    </row>
    <row r="153" spans="1:25" x14ac:dyDescent="0.35">
      <c r="A153" s="30" t="s">
        <v>674</v>
      </c>
      <c r="B153" s="4" t="s">
        <v>23</v>
      </c>
      <c r="C153" s="4" t="s">
        <v>242</v>
      </c>
      <c r="D153" s="4" t="s">
        <v>384</v>
      </c>
      <c r="E153" s="4" t="s">
        <v>162</v>
      </c>
      <c r="F153" s="4" t="s">
        <v>385</v>
      </c>
      <c r="G153" s="5">
        <v>42669</v>
      </c>
      <c r="H153" s="43">
        <v>0.625</v>
      </c>
      <c r="I153" s="56">
        <v>0.64583333333333337</v>
      </c>
      <c r="J153" s="4">
        <v>30</v>
      </c>
      <c r="K153" s="43"/>
      <c r="L153" s="43">
        <v>0.625</v>
      </c>
      <c r="M153" s="56">
        <v>0.64583333333333337</v>
      </c>
      <c r="N153" s="4">
        <v>30</v>
      </c>
      <c r="O153" s="4" t="s">
        <v>53</v>
      </c>
      <c r="P153" s="4" t="s">
        <v>694</v>
      </c>
      <c r="Q153" s="59" t="s">
        <v>810</v>
      </c>
      <c r="R153" s="4"/>
      <c r="S153" s="50">
        <v>2</v>
      </c>
      <c r="T153" s="48">
        <v>35</v>
      </c>
      <c r="U153" s="4">
        <v>48</v>
      </c>
      <c r="V153" s="4">
        <f t="shared" si="4"/>
        <v>70</v>
      </c>
      <c r="W153" s="4">
        <f t="shared" si="5"/>
        <v>96</v>
      </c>
      <c r="X153" s="4"/>
      <c r="Y153" s="4"/>
    </row>
    <row r="154" spans="1:25" x14ac:dyDescent="0.35">
      <c r="A154" s="8" t="s">
        <v>70</v>
      </c>
      <c r="B154" s="4" t="s">
        <v>23</v>
      </c>
      <c r="C154" s="4" t="s">
        <v>355</v>
      </c>
      <c r="D154" s="4" t="s">
        <v>356</v>
      </c>
      <c r="E154" s="4" t="s">
        <v>24</v>
      </c>
      <c r="F154" s="4" t="s">
        <v>357</v>
      </c>
      <c r="G154" s="5">
        <v>42670</v>
      </c>
      <c r="H154" s="52">
        <v>0.45833333333333331</v>
      </c>
      <c r="I154" s="56">
        <v>0.47916666666666663</v>
      </c>
      <c r="J154" s="4">
        <v>30</v>
      </c>
      <c r="K154" s="43"/>
      <c r="L154" s="52">
        <v>0.45833333333333331</v>
      </c>
      <c r="M154" s="56">
        <v>0.47916666666666663</v>
      </c>
      <c r="N154" s="4">
        <v>30</v>
      </c>
      <c r="O154" s="6" t="s">
        <v>156</v>
      </c>
      <c r="P154" s="4" t="s">
        <v>269</v>
      </c>
      <c r="Q154" s="4"/>
      <c r="R154" s="4"/>
      <c r="S154" s="50">
        <v>1</v>
      </c>
      <c r="T154" s="4"/>
      <c r="U154" s="4">
        <v>48</v>
      </c>
      <c r="V154" s="4">
        <f t="shared" si="4"/>
        <v>0</v>
      </c>
      <c r="W154" s="4">
        <f t="shared" si="5"/>
        <v>48</v>
      </c>
      <c r="X154" s="4"/>
      <c r="Y154" s="4"/>
    </row>
    <row r="155" spans="1:25" x14ac:dyDescent="0.35">
      <c r="A155" s="8" t="s">
        <v>70</v>
      </c>
      <c r="B155" s="4" t="s">
        <v>23</v>
      </c>
      <c r="C155" s="4" t="s">
        <v>480</v>
      </c>
      <c r="D155" s="4" t="s">
        <v>185</v>
      </c>
      <c r="E155" s="4" t="s">
        <v>24</v>
      </c>
      <c r="F155" s="4" t="s">
        <v>731</v>
      </c>
      <c r="G155" s="5">
        <v>42670</v>
      </c>
      <c r="H155" s="52">
        <v>0.375</v>
      </c>
      <c r="I155" s="43">
        <v>0.38541666666666669</v>
      </c>
      <c r="J155" s="4">
        <v>15</v>
      </c>
      <c r="K155" s="43"/>
      <c r="L155" s="52">
        <v>0.375</v>
      </c>
      <c r="M155" s="43">
        <v>0.38541666666666669</v>
      </c>
      <c r="N155" s="4">
        <v>15</v>
      </c>
      <c r="O155" s="6" t="s">
        <v>138</v>
      </c>
      <c r="P155" s="4" t="s">
        <v>243</v>
      </c>
      <c r="Q155" s="4"/>
      <c r="R155" s="4"/>
      <c r="S155" s="53">
        <v>0.25</v>
      </c>
      <c r="T155" s="4"/>
      <c r="U155" s="4">
        <v>48</v>
      </c>
      <c r="V155" s="4">
        <f t="shared" si="4"/>
        <v>0</v>
      </c>
      <c r="W155" s="4">
        <f t="shared" si="5"/>
        <v>12</v>
      </c>
      <c r="X155" s="4"/>
      <c r="Y155" s="4"/>
    </row>
    <row r="156" spans="1:25" x14ac:dyDescent="0.35">
      <c r="A156" s="8" t="s">
        <v>70</v>
      </c>
      <c r="B156" s="4" t="s">
        <v>23</v>
      </c>
      <c r="C156" s="4" t="s">
        <v>480</v>
      </c>
      <c r="D156" s="4" t="s">
        <v>185</v>
      </c>
      <c r="E156" s="4" t="s">
        <v>24</v>
      </c>
      <c r="F156" s="4" t="s">
        <v>731</v>
      </c>
      <c r="G156" s="5">
        <v>42670</v>
      </c>
      <c r="H156" s="43">
        <v>0.38541666666666669</v>
      </c>
      <c r="I156" s="43">
        <v>0.39583333333333337</v>
      </c>
      <c r="J156" s="4">
        <v>15</v>
      </c>
      <c r="K156" s="43"/>
      <c r="L156" s="43">
        <v>0.38541666666666669</v>
      </c>
      <c r="M156" s="43">
        <v>0.39583333333333337</v>
      </c>
      <c r="N156" s="4">
        <v>15</v>
      </c>
      <c r="O156" s="4" t="s">
        <v>120</v>
      </c>
      <c r="P156" s="4" t="s">
        <v>121</v>
      </c>
      <c r="Q156" s="4"/>
      <c r="R156" s="4"/>
      <c r="S156" s="53">
        <v>0.25</v>
      </c>
      <c r="T156" s="4"/>
      <c r="U156" s="4">
        <v>48</v>
      </c>
      <c r="V156" s="4">
        <f t="shared" si="4"/>
        <v>0</v>
      </c>
      <c r="W156" s="4">
        <f t="shared" si="5"/>
        <v>12</v>
      </c>
      <c r="X156" s="4"/>
      <c r="Y156" s="4"/>
    </row>
    <row r="157" spans="1:25" x14ac:dyDescent="0.35">
      <c r="A157" s="8" t="s">
        <v>70</v>
      </c>
      <c r="B157" s="4" t="s">
        <v>23</v>
      </c>
      <c r="C157" s="4" t="s">
        <v>480</v>
      </c>
      <c r="D157" s="4" t="s">
        <v>185</v>
      </c>
      <c r="E157" s="4" t="s">
        <v>24</v>
      </c>
      <c r="F157" s="4" t="s">
        <v>731</v>
      </c>
      <c r="G157" s="5">
        <v>42670</v>
      </c>
      <c r="H157" s="45">
        <v>0.39583333333333331</v>
      </c>
      <c r="I157" s="56">
        <v>0.45833333333333331</v>
      </c>
      <c r="J157" s="4">
        <v>90</v>
      </c>
      <c r="K157" s="43"/>
      <c r="L157" s="45">
        <v>0.39583333333333331</v>
      </c>
      <c r="M157" s="56">
        <v>0.45833333333333331</v>
      </c>
      <c r="N157" s="4">
        <v>90</v>
      </c>
      <c r="O157" s="6" t="s">
        <v>179</v>
      </c>
      <c r="P157" s="4" t="s">
        <v>147</v>
      </c>
      <c r="Q157" s="4"/>
      <c r="R157" s="4"/>
      <c r="S157" s="50">
        <v>2</v>
      </c>
      <c r="T157" s="4"/>
      <c r="U157" s="4">
        <v>48</v>
      </c>
      <c r="V157" s="4">
        <f t="shared" si="4"/>
        <v>0</v>
      </c>
      <c r="W157" s="4">
        <f t="shared" si="5"/>
        <v>96</v>
      </c>
      <c r="X157" s="4"/>
      <c r="Y157" s="4"/>
    </row>
    <row r="158" spans="1:25" x14ac:dyDescent="0.35">
      <c r="A158" s="8" t="s">
        <v>58</v>
      </c>
      <c r="B158" s="10" t="s">
        <v>40</v>
      </c>
      <c r="C158" s="21" t="s">
        <v>282</v>
      </c>
      <c r="D158" s="21" t="s">
        <v>283</v>
      </c>
      <c r="E158" s="21" t="s">
        <v>24</v>
      </c>
      <c r="F158" s="21" t="s">
        <v>284</v>
      </c>
      <c r="G158" s="34">
        <v>42670</v>
      </c>
      <c r="H158" s="52">
        <v>0.45833333333333331</v>
      </c>
      <c r="I158" s="46">
        <v>0.6875</v>
      </c>
      <c r="J158" s="21">
        <v>330</v>
      </c>
      <c r="K158" s="46"/>
      <c r="L158" s="52">
        <v>0.45833333333333331</v>
      </c>
      <c r="M158" s="46">
        <v>0.6875</v>
      </c>
      <c r="N158" s="21">
        <v>330</v>
      </c>
      <c r="O158" s="21" t="s">
        <v>26</v>
      </c>
      <c r="P158" s="21" t="s">
        <v>285</v>
      </c>
      <c r="Q158" s="21"/>
      <c r="R158" s="21"/>
      <c r="S158" s="53">
        <v>5.5</v>
      </c>
      <c r="T158" s="51">
        <v>30</v>
      </c>
      <c r="U158" s="21">
        <v>48</v>
      </c>
      <c r="V158" s="4">
        <f t="shared" si="4"/>
        <v>165</v>
      </c>
      <c r="W158" s="4">
        <f t="shared" si="5"/>
        <v>264</v>
      </c>
      <c r="X158" s="21" t="s">
        <v>287</v>
      </c>
      <c r="Y158" s="21"/>
    </row>
    <row r="159" spans="1:25" x14ac:dyDescent="0.35">
      <c r="A159" s="8" t="s">
        <v>58</v>
      </c>
      <c r="B159" s="10" t="s">
        <v>40</v>
      </c>
      <c r="C159" s="4" t="s">
        <v>282</v>
      </c>
      <c r="D159" s="4" t="s">
        <v>283</v>
      </c>
      <c r="E159" s="4" t="s">
        <v>24</v>
      </c>
      <c r="F159" s="4" t="s">
        <v>284</v>
      </c>
      <c r="G159" s="5">
        <v>42670</v>
      </c>
      <c r="H159" s="45">
        <v>0.6875</v>
      </c>
      <c r="I159" s="56">
        <v>0.69791666666666663</v>
      </c>
      <c r="J159" s="4">
        <v>15</v>
      </c>
      <c r="K159" s="43"/>
      <c r="L159" s="45">
        <v>0.6875</v>
      </c>
      <c r="M159" s="56">
        <v>0.69791666666666663</v>
      </c>
      <c r="N159" s="4">
        <v>15</v>
      </c>
      <c r="O159" s="6" t="s">
        <v>26</v>
      </c>
      <c r="P159" s="4" t="s">
        <v>207</v>
      </c>
      <c r="Q159" s="4"/>
      <c r="R159" s="4"/>
      <c r="S159" s="50">
        <v>5.75</v>
      </c>
      <c r="T159" s="48">
        <v>30</v>
      </c>
      <c r="U159" s="4">
        <v>48</v>
      </c>
      <c r="V159" s="4">
        <f t="shared" si="4"/>
        <v>172.5</v>
      </c>
      <c r="W159" s="4">
        <f t="shared" si="5"/>
        <v>276</v>
      </c>
      <c r="X159" s="4"/>
      <c r="Y159" s="4"/>
    </row>
    <row r="160" spans="1:25" x14ac:dyDescent="0.35">
      <c r="A160" s="8" t="s">
        <v>379</v>
      </c>
      <c r="B160" s="4" t="s">
        <v>23</v>
      </c>
      <c r="C160" s="4" t="s">
        <v>337</v>
      </c>
      <c r="D160" s="4" t="s">
        <v>338</v>
      </c>
      <c r="E160" s="4" t="s">
        <v>32</v>
      </c>
      <c r="F160" s="4" t="s">
        <v>339</v>
      </c>
      <c r="G160" s="5">
        <v>42668</v>
      </c>
      <c r="H160" s="52">
        <v>0.39583333333333331</v>
      </c>
      <c r="I160" s="43">
        <v>0.40625</v>
      </c>
      <c r="J160" s="4">
        <v>15</v>
      </c>
      <c r="K160" s="43"/>
      <c r="L160" s="52">
        <v>0.39583333333333331</v>
      </c>
      <c r="M160" s="43">
        <v>0.40625</v>
      </c>
      <c r="N160" s="4">
        <v>15</v>
      </c>
      <c r="O160" s="4" t="s">
        <v>25</v>
      </c>
      <c r="P160" s="4"/>
      <c r="Q160" s="4"/>
      <c r="R160" s="4"/>
      <c r="S160" s="53">
        <v>0.25</v>
      </c>
      <c r="T160" s="48">
        <v>25</v>
      </c>
      <c r="U160" s="4">
        <v>48</v>
      </c>
      <c r="V160" s="4">
        <f t="shared" si="4"/>
        <v>6.25</v>
      </c>
      <c r="W160" s="4">
        <f t="shared" si="5"/>
        <v>12</v>
      </c>
      <c r="X160" s="4"/>
      <c r="Y160" s="4"/>
    </row>
    <row r="161" spans="1:25" x14ac:dyDescent="0.35">
      <c r="A161" s="8" t="s">
        <v>379</v>
      </c>
      <c r="B161" s="4" t="s">
        <v>23</v>
      </c>
      <c r="C161" s="4" t="s">
        <v>337</v>
      </c>
      <c r="D161" s="4" t="s">
        <v>338</v>
      </c>
      <c r="E161" s="4" t="s">
        <v>32</v>
      </c>
      <c r="F161" s="4" t="s">
        <v>339</v>
      </c>
      <c r="G161" s="5">
        <v>42668</v>
      </c>
      <c r="H161" s="45">
        <v>0.47916666666666669</v>
      </c>
      <c r="I161" s="43">
        <v>0.5</v>
      </c>
      <c r="J161" s="4">
        <v>30</v>
      </c>
      <c r="K161" s="43"/>
      <c r="L161" s="45">
        <v>0.47916666666666669</v>
      </c>
      <c r="M161" s="43">
        <v>0.5</v>
      </c>
      <c r="N161" s="4">
        <v>30</v>
      </c>
      <c r="O161" s="6" t="s">
        <v>53</v>
      </c>
      <c r="P161" s="4"/>
      <c r="Q161" s="59" t="s">
        <v>809</v>
      </c>
      <c r="R161" s="4"/>
      <c r="S161" s="53">
        <v>0.5</v>
      </c>
      <c r="T161" s="48">
        <v>25</v>
      </c>
      <c r="U161" s="4">
        <v>48</v>
      </c>
      <c r="V161" s="4">
        <f t="shared" si="4"/>
        <v>12.5</v>
      </c>
      <c r="W161" s="4">
        <f t="shared" si="5"/>
        <v>24</v>
      </c>
      <c r="X161" s="4"/>
      <c r="Y161" s="4"/>
    </row>
    <row r="162" spans="1:25" x14ac:dyDescent="0.35">
      <c r="A162" s="8" t="s">
        <v>379</v>
      </c>
      <c r="B162" s="4" t="s">
        <v>23</v>
      </c>
      <c r="C162" s="4" t="s">
        <v>337</v>
      </c>
      <c r="D162" s="4" t="s">
        <v>338</v>
      </c>
      <c r="E162" s="4" t="s">
        <v>32</v>
      </c>
      <c r="F162" s="4" t="s">
        <v>339</v>
      </c>
      <c r="G162" s="5">
        <v>42668</v>
      </c>
      <c r="H162" s="45">
        <v>0.52083333333333337</v>
      </c>
      <c r="I162" s="43">
        <v>0.625</v>
      </c>
      <c r="J162" s="4">
        <v>150</v>
      </c>
      <c r="K162" s="43"/>
      <c r="L162" s="45">
        <v>0.52083333333333337</v>
      </c>
      <c r="M162" s="43">
        <v>0.625</v>
      </c>
      <c r="N162" s="4">
        <v>150</v>
      </c>
      <c r="O162" s="6" t="s">
        <v>26</v>
      </c>
      <c r="P162" s="4"/>
      <c r="Q162" s="59" t="s">
        <v>809</v>
      </c>
      <c r="R162" s="4"/>
      <c r="S162" s="53">
        <v>2.5</v>
      </c>
      <c r="T162" s="48">
        <v>25</v>
      </c>
      <c r="U162" s="4">
        <v>48</v>
      </c>
      <c r="V162" s="4">
        <f t="shared" si="4"/>
        <v>62.5</v>
      </c>
      <c r="W162" s="4">
        <f t="shared" si="5"/>
        <v>120</v>
      </c>
      <c r="X162" s="4"/>
      <c r="Y162" s="4"/>
    </row>
    <row r="163" spans="1:25" x14ac:dyDescent="0.35">
      <c r="A163" s="8" t="s">
        <v>379</v>
      </c>
      <c r="B163" s="4" t="s">
        <v>23</v>
      </c>
      <c r="C163" s="4" t="s">
        <v>337</v>
      </c>
      <c r="D163" s="4" t="s">
        <v>338</v>
      </c>
      <c r="E163" s="4" t="s">
        <v>32</v>
      </c>
      <c r="F163" s="4" t="s">
        <v>339</v>
      </c>
      <c r="G163" s="5">
        <v>42668</v>
      </c>
      <c r="H163" s="45">
        <v>0.54166666666666663</v>
      </c>
      <c r="I163" s="43">
        <v>0.58333333333333337</v>
      </c>
      <c r="J163" s="4">
        <v>60</v>
      </c>
      <c r="K163" s="43"/>
      <c r="L163" s="45">
        <v>0.54166666666666663</v>
      </c>
      <c r="M163" s="43">
        <v>0.58333333333333337</v>
      </c>
      <c r="N163" s="4">
        <v>60</v>
      </c>
      <c r="O163" s="6" t="s">
        <v>120</v>
      </c>
      <c r="P163" s="4"/>
      <c r="Q163" s="59" t="s">
        <v>811</v>
      </c>
      <c r="R163" s="4"/>
      <c r="S163" s="53">
        <v>0</v>
      </c>
      <c r="T163" s="48">
        <v>25</v>
      </c>
      <c r="U163" s="4">
        <v>48</v>
      </c>
      <c r="V163" s="4">
        <f t="shared" si="4"/>
        <v>0</v>
      </c>
      <c r="W163" s="4">
        <f t="shared" si="5"/>
        <v>0</v>
      </c>
      <c r="X163" s="4"/>
      <c r="Y163" s="4"/>
    </row>
    <row r="164" spans="1:25" x14ac:dyDescent="0.35">
      <c r="A164" s="8" t="s">
        <v>379</v>
      </c>
      <c r="B164" s="4" t="s">
        <v>23</v>
      </c>
      <c r="C164" s="4" t="s">
        <v>337</v>
      </c>
      <c r="D164" s="4" t="s">
        <v>338</v>
      </c>
      <c r="E164" s="4" t="s">
        <v>32</v>
      </c>
      <c r="F164" s="4" t="s">
        <v>339</v>
      </c>
      <c r="G164" s="5">
        <v>42668</v>
      </c>
      <c r="H164" s="43">
        <v>0.58333333333333337</v>
      </c>
      <c r="I164" s="56">
        <v>0.60416666666666674</v>
      </c>
      <c r="J164" s="4">
        <v>30</v>
      </c>
      <c r="K164" s="43"/>
      <c r="L164" s="43">
        <v>0.58333333333333337</v>
      </c>
      <c r="M164" s="56">
        <v>0.60416666666666674</v>
      </c>
      <c r="N164" s="4">
        <v>30</v>
      </c>
      <c r="O164" s="4" t="s">
        <v>110</v>
      </c>
      <c r="P164" s="4" t="s">
        <v>447</v>
      </c>
      <c r="Q164" s="59" t="s">
        <v>811</v>
      </c>
      <c r="R164" s="4"/>
      <c r="S164" s="50">
        <v>5.5</v>
      </c>
      <c r="T164" s="48">
        <v>25</v>
      </c>
      <c r="U164" s="4">
        <v>48</v>
      </c>
      <c r="V164" s="4">
        <f t="shared" si="4"/>
        <v>137.5</v>
      </c>
      <c r="W164" s="4">
        <f t="shared" si="5"/>
        <v>264</v>
      </c>
      <c r="X164" s="4"/>
      <c r="Y164" s="4"/>
    </row>
    <row r="165" spans="1:25" x14ac:dyDescent="0.35">
      <c r="A165" s="8" t="s">
        <v>379</v>
      </c>
      <c r="B165" s="4" t="s">
        <v>23</v>
      </c>
      <c r="C165" s="4" t="s">
        <v>559</v>
      </c>
      <c r="D165" s="4" t="s">
        <v>560</v>
      </c>
      <c r="E165" s="4" t="s">
        <v>32</v>
      </c>
      <c r="F165" s="4" t="s">
        <v>561</v>
      </c>
      <c r="G165" s="5">
        <v>42670</v>
      </c>
      <c r="H165" s="52">
        <v>0.35416666666666669</v>
      </c>
      <c r="I165" s="56">
        <v>0.45833333333333331</v>
      </c>
      <c r="J165" s="4">
        <v>150</v>
      </c>
      <c r="K165" s="43"/>
      <c r="L165" s="52">
        <v>0.35416666666666669</v>
      </c>
      <c r="M165" s="56">
        <v>0.45833333333333331</v>
      </c>
      <c r="N165" s="4">
        <v>150</v>
      </c>
      <c r="O165" s="4" t="s">
        <v>115</v>
      </c>
      <c r="P165" s="4" t="s">
        <v>116</v>
      </c>
      <c r="Q165" s="4"/>
      <c r="R165" s="4"/>
      <c r="S165" s="50">
        <v>2.5</v>
      </c>
      <c r="T165" s="48">
        <v>25</v>
      </c>
      <c r="U165" s="4">
        <v>48</v>
      </c>
      <c r="V165" s="4">
        <f t="shared" si="4"/>
        <v>62.5</v>
      </c>
      <c r="W165" s="4">
        <f t="shared" si="5"/>
        <v>120</v>
      </c>
      <c r="X165" s="4"/>
      <c r="Y165" s="4"/>
    </row>
    <row r="166" spans="1:25" x14ac:dyDescent="0.35">
      <c r="A166" s="8" t="s">
        <v>379</v>
      </c>
      <c r="B166" s="4" t="s">
        <v>23</v>
      </c>
      <c r="C166" s="4" t="s">
        <v>337</v>
      </c>
      <c r="D166" s="4" t="s">
        <v>338</v>
      </c>
      <c r="E166" s="4" t="s">
        <v>32</v>
      </c>
      <c r="F166" s="4" t="s">
        <v>339</v>
      </c>
      <c r="G166" s="5">
        <v>42670</v>
      </c>
      <c r="H166" s="52">
        <v>0.52777777777777779</v>
      </c>
      <c r="I166" s="56">
        <v>0.63194444444444442</v>
      </c>
      <c r="J166" s="4">
        <v>150</v>
      </c>
      <c r="K166" s="43"/>
      <c r="L166" s="52">
        <v>0.52777777777777779</v>
      </c>
      <c r="M166" s="56">
        <v>0.63194444444444442</v>
      </c>
      <c r="N166" s="4">
        <v>150</v>
      </c>
      <c r="O166" s="6" t="s">
        <v>115</v>
      </c>
      <c r="P166" s="4" t="s">
        <v>228</v>
      </c>
      <c r="Q166" s="4"/>
      <c r="R166" s="4"/>
      <c r="S166" s="50">
        <v>2.5</v>
      </c>
      <c r="T166" s="48">
        <v>25</v>
      </c>
      <c r="U166" s="4">
        <v>48</v>
      </c>
      <c r="V166" s="4">
        <f t="shared" si="4"/>
        <v>62.5</v>
      </c>
      <c r="W166" s="4">
        <f t="shared" si="5"/>
        <v>120</v>
      </c>
      <c r="X166" s="4"/>
      <c r="Y166" s="4"/>
    </row>
    <row r="167" spans="1:25" x14ac:dyDescent="0.35">
      <c r="A167" s="33" t="s">
        <v>216</v>
      </c>
      <c r="B167" s="4" t="s">
        <v>23</v>
      </c>
      <c r="C167" s="4" t="s">
        <v>662</v>
      </c>
      <c r="D167" s="4" t="s">
        <v>663</v>
      </c>
      <c r="E167" s="4" t="s">
        <v>140</v>
      </c>
      <c r="F167" s="4" t="s">
        <v>664</v>
      </c>
      <c r="G167" s="5">
        <v>42669</v>
      </c>
      <c r="H167" s="52">
        <v>0.625</v>
      </c>
      <c r="I167" s="43">
        <v>0.63541666666666663</v>
      </c>
      <c r="J167" s="4">
        <v>15</v>
      </c>
      <c r="K167" s="43"/>
      <c r="L167" s="52">
        <v>0.625</v>
      </c>
      <c r="M167" s="43">
        <v>0.63541666666666663</v>
      </c>
      <c r="N167" s="4">
        <v>15</v>
      </c>
      <c r="O167" s="4" t="s">
        <v>26</v>
      </c>
      <c r="P167" s="4" t="s">
        <v>169</v>
      </c>
      <c r="Q167" s="4"/>
      <c r="R167" s="4"/>
      <c r="S167" s="53">
        <v>0.25</v>
      </c>
      <c r="T167" s="48">
        <v>27</v>
      </c>
      <c r="U167" s="4">
        <v>48</v>
      </c>
      <c r="V167" s="4">
        <f t="shared" si="4"/>
        <v>6.75</v>
      </c>
      <c r="W167" s="4">
        <f t="shared" si="5"/>
        <v>12</v>
      </c>
      <c r="X167" s="4"/>
      <c r="Y167" s="4"/>
    </row>
    <row r="168" spans="1:25" x14ac:dyDescent="0.35">
      <c r="A168" s="33" t="s">
        <v>216</v>
      </c>
      <c r="B168" s="4" t="s">
        <v>23</v>
      </c>
      <c r="C168" s="4" t="s">
        <v>662</v>
      </c>
      <c r="D168" s="4" t="s">
        <v>663</v>
      </c>
      <c r="E168" s="4" t="s">
        <v>140</v>
      </c>
      <c r="F168" s="4" t="s">
        <v>664</v>
      </c>
      <c r="G168" s="5">
        <v>42669</v>
      </c>
      <c r="H168" s="43">
        <v>0.66666666666666663</v>
      </c>
      <c r="I168" s="56">
        <v>0.77083333333333326</v>
      </c>
      <c r="J168" s="4">
        <v>150</v>
      </c>
      <c r="K168" s="43"/>
      <c r="L168" s="43">
        <v>0.66666666666666663</v>
      </c>
      <c r="M168" s="56">
        <v>0.77083333333333326</v>
      </c>
      <c r="N168" s="4">
        <v>150</v>
      </c>
      <c r="O168" s="4" t="s">
        <v>26</v>
      </c>
      <c r="P168" s="4" t="s">
        <v>464</v>
      </c>
      <c r="Q168" s="4"/>
      <c r="R168" s="4"/>
      <c r="S168" s="50">
        <v>3.5</v>
      </c>
      <c r="T168" s="48">
        <v>27</v>
      </c>
      <c r="U168" s="4">
        <v>48</v>
      </c>
      <c r="V168" s="4">
        <f t="shared" si="4"/>
        <v>94.5</v>
      </c>
      <c r="W168" s="4">
        <f t="shared" si="5"/>
        <v>168</v>
      </c>
      <c r="X168" s="4"/>
      <c r="Y168" s="4"/>
    </row>
    <row r="169" spans="1:25" x14ac:dyDescent="0.35">
      <c r="A169" s="8" t="s">
        <v>216</v>
      </c>
      <c r="B169" s="4" t="s">
        <v>23</v>
      </c>
      <c r="C169" s="4" t="s">
        <v>170</v>
      </c>
      <c r="D169" s="4" t="s">
        <v>171</v>
      </c>
      <c r="E169" s="4" t="s">
        <v>140</v>
      </c>
      <c r="F169" s="4" t="s">
        <v>172</v>
      </c>
      <c r="G169" s="5">
        <v>42670</v>
      </c>
      <c r="H169" s="52">
        <v>0.41666666666666669</v>
      </c>
      <c r="I169" s="56">
        <v>0.45833333333333337</v>
      </c>
      <c r="J169" s="4">
        <v>60</v>
      </c>
      <c r="K169" s="43"/>
      <c r="L169" s="52">
        <v>0.41666666666666669</v>
      </c>
      <c r="M169" s="56">
        <v>0.45833333333333337</v>
      </c>
      <c r="N169" s="4">
        <v>60</v>
      </c>
      <c r="O169" s="6" t="s">
        <v>163</v>
      </c>
      <c r="P169" s="4" t="s">
        <v>173</v>
      </c>
      <c r="Q169" s="4"/>
      <c r="R169" s="4"/>
      <c r="S169" s="50">
        <v>1</v>
      </c>
      <c r="T169" s="48">
        <v>27</v>
      </c>
      <c r="U169" s="4">
        <v>48</v>
      </c>
      <c r="V169" s="4">
        <f t="shared" si="4"/>
        <v>27</v>
      </c>
      <c r="W169" s="4">
        <f t="shared" si="5"/>
        <v>48</v>
      </c>
      <c r="X169" s="4"/>
      <c r="Y169" s="4"/>
    </row>
    <row r="170" spans="1:25" x14ac:dyDescent="0.35">
      <c r="A170" s="30" t="s">
        <v>217</v>
      </c>
      <c r="B170" s="4" t="s">
        <v>23</v>
      </c>
      <c r="C170" s="4" t="s">
        <v>417</v>
      </c>
      <c r="D170" s="4" t="s">
        <v>418</v>
      </c>
      <c r="E170" s="4" t="s">
        <v>114</v>
      </c>
      <c r="F170" s="4" t="s">
        <v>419</v>
      </c>
      <c r="G170" s="5">
        <v>42668</v>
      </c>
      <c r="H170" s="52">
        <v>0.64583333333333337</v>
      </c>
      <c r="I170" s="56">
        <v>0.66666666666666674</v>
      </c>
      <c r="J170" s="4">
        <v>30</v>
      </c>
      <c r="K170" s="43"/>
      <c r="L170" s="52">
        <v>0.64583333333333337</v>
      </c>
      <c r="M170" s="56">
        <v>0.66666666666666674</v>
      </c>
      <c r="N170" s="4">
        <v>30</v>
      </c>
      <c r="O170" s="4" t="s">
        <v>156</v>
      </c>
      <c r="P170" s="4" t="s">
        <v>50</v>
      </c>
      <c r="Q170" s="4"/>
      <c r="R170" s="4"/>
      <c r="S170" s="50">
        <v>1</v>
      </c>
      <c r="T170" s="48">
        <v>27</v>
      </c>
      <c r="U170" s="4">
        <v>48</v>
      </c>
      <c r="V170" s="4">
        <f t="shared" si="4"/>
        <v>27</v>
      </c>
      <c r="W170" s="4">
        <f t="shared" si="5"/>
        <v>48</v>
      </c>
      <c r="X170" s="4"/>
      <c r="Y170" s="4"/>
    </row>
    <row r="171" spans="1:25" x14ac:dyDescent="0.35">
      <c r="A171" s="8" t="s">
        <v>217</v>
      </c>
      <c r="B171" s="10" t="s">
        <v>40</v>
      </c>
      <c r="C171" s="4" t="s">
        <v>124</v>
      </c>
      <c r="D171" s="4" t="s">
        <v>125</v>
      </c>
      <c r="E171" s="4" t="s">
        <v>114</v>
      </c>
      <c r="F171" s="4" t="s">
        <v>126</v>
      </c>
      <c r="G171" s="5">
        <v>42669</v>
      </c>
      <c r="H171" s="52">
        <v>0.5</v>
      </c>
      <c r="I171" s="56">
        <v>0.6875</v>
      </c>
      <c r="J171" s="4">
        <v>270</v>
      </c>
      <c r="K171" s="43"/>
      <c r="L171" s="52">
        <v>0.5</v>
      </c>
      <c r="M171" s="56">
        <v>0.6875</v>
      </c>
      <c r="N171" s="4">
        <v>270</v>
      </c>
      <c r="O171" s="4" t="s">
        <v>26</v>
      </c>
      <c r="P171" s="4" t="s">
        <v>34</v>
      </c>
      <c r="Q171" s="4"/>
      <c r="R171" s="4"/>
      <c r="S171" s="50">
        <v>4.5</v>
      </c>
      <c r="T171" s="48">
        <v>27</v>
      </c>
      <c r="U171" s="4">
        <v>48</v>
      </c>
      <c r="V171" s="4">
        <f t="shared" si="4"/>
        <v>121.5</v>
      </c>
      <c r="W171" s="4">
        <f t="shared" si="5"/>
        <v>216</v>
      </c>
      <c r="X171" s="4"/>
      <c r="Y171" s="4"/>
    </row>
    <row r="172" spans="1:25" x14ac:dyDescent="0.35">
      <c r="A172" s="8" t="s">
        <v>217</v>
      </c>
      <c r="B172" s="4" t="s">
        <v>23</v>
      </c>
      <c r="C172" s="4" t="s">
        <v>365</v>
      </c>
      <c r="D172" s="4" t="s">
        <v>366</v>
      </c>
      <c r="E172" s="4" t="s">
        <v>114</v>
      </c>
      <c r="F172" s="4" t="s">
        <v>367</v>
      </c>
      <c r="G172" s="5">
        <v>42670</v>
      </c>
      <c r="H172" s="52">
        <v>0.375</v>
      </c>
      <c r="I172" s="43">
        <v>0.39583333333333331</v>
      </c>
      <c r="J172" s="4">
        <v>30</v>
      </c>
      <c r="K172" s="43"/>
      <c r="L172" s="52">
        <v>0.375</v>
      </c>
      <c r="M172" s="43">
        <v>0.39583333333333331</v>
      </c>
      <c r="N172" s="4">
        <v>30</v>
      </c>
      <c r="O172" s="4" t="s">
        <v>49</v>
      </c>
      <c r="P172" s="4" t="s">
        <v>50</v>
      </c>
      <c r="Q172" s="4"/>
      <c r="R172" s="4"/>
      <c r="S172" s="53">
        <v>0.5</v>
      </c>
      <c r="T172" s="48">
        <v>27</v>
      </c>
      <c r="U172" s="4">
        <v>48</v>
      </c>
      <c r="V172" s="4">
        <f t="shared" si="4"/>
        <v>13.5</v>
      </c>
      <c r="W172" s="4">
        <f t="shared" si="5"/>
        <v>24</v>
      </c>
      <c r="X172" s="4" t="s">
        <v>51</v>
      </c>
      <c r="Y172" s="4"/>
    </row>
    <row r="173" spans="1:25" x14ac:dyDescent="0.35">
      <c r="A173" s="8" t="s">
        <v>217</v>
      </c>
      <c r="B173" s="4" t="s">
        <v>23</v>
      </c>
      <c r="C173" s="4" t="s">
        <v>365</v>
      </c>
      <c r="D173" s="4" t="s">
        <v>366</v>
      </c>
      <c r="E173" s="4" t="s">
        <v>114</v>
      </c>
      <c r="F173" s="4" t="s">
        <v>367</v>
      </c>
      <c r="G173" s="5">
        <v>42670</v>
      </c>
      <c r="H173" s="43">
        <v>0.39583333333333331</v>
      </c>
      <c r="I173" s="43">
        <v>0.41666666666666663</v>
      </c>
      <c r="J173" s="4">
        <v>30</v>
      </c>
      <c r="K173" s="43"/>
      <c r="L173" s="43">
        <v>0.39583333333333331</v>
      </c>
      <c r="M173" s="43">
        <v>0.41666666666666663</v>
      </c>
      <c r="N173" s="4">
        <v>30</v>
      </c>
      <c r="O173" s="4" t="s">
        <v>53</v>
      </c>
      <c r="P173" s="4" t="s">
        <v>63</v>
      </c>
      <c r="Q173" s="4"/>
      <c r="R173" s="4"/>
      <c r="S173" s="53">
        <v>0.5</v>
      </c>
      <c r="T173" s="48">
        <v>27</v>
      </c>
      <c r="U173" s="4">
        <v>48</v>
      </c>
      <c r="V173" s="4">
        <f t="shared" si="4"/>
        <v>13.5</v>
      </c>
      <c r="W173" s="4">
        <f t="shared" si="5"/>
        <v>24</v>
      </c>
      <c r="X173" s="4"/>
      <c r="Y173" s="4"/>
    </row>
    <row r="174" spans="1:25" x14ac:dyDescent="0.35">
      <c r="A174" s="8" t="s">
        <v>217</v>
      </c>
      <c r="B174" s="4" t="s">
        <v>23</v>
      </c>
      <c r="C174" s="4" t="s">
        <v>365</v>
      </c>
      <c r="D174" s="4" t="s">
        <v>366</v>
      </c>
      <c r="E174" s="4" t="s">
        <v>114</v>
      </c>
      <c r="F174" s="4" t="s">
        <v>367</v>
      </c>
      <c r="G174" s="5">
        <v>42670</v>
      </c>
      <c r="H174" s="43">
        <v>0.4375</v>
      </c>
      <c r="I174" s="56">
        <v>0.5</v>
      </c>
      <c r="J174" s="4">
        <v>90</v>
      </c>
      <c r="K174" s="43"/>
      <c r="L174" s="43">
        <v>0.4375</v>
      </c>
      <c r="M174" s="56">
        <v>0.5</v>
      </c>
      <c r="N174" s="4">
        <v>90</v>
      </c>
      <c r="O174" s="4" t="s">
        <v>26</v>
      </c>
      <c r="P174" s="4" t="s">
        <v>192</v>
      </c>
      <c r="Q174" s="59" t="s">
        <v>809</v>
      </c>
      <c r="R174" s="4"/>
      <c r="S174" s="50">
        <v>3</v>
      </c>
      <c r="T174" s="48">
        <v>27</v>
      </c>
      <c r="U174" s="4">
        <v>48</v>
      </c>
      <c r="V174" s="4">
        <f t="shared" si="4"/>
        <v>81</v>
      </c>
      <c r="W174" s="4">
        <f t="shared" si="5"/>
        <v>144</v>
      </c>
      <c r="X174" s="4"/>
      <c r="Y174" s="4"/>
    </row>
    <row r="175" spans="1:25" x14ac:dyDescent="0.35">
      <c r="A175" s="8" t="s">
        <v>217</v>
      </c>
      <c r="B175" s="4" t="s">
        <v>23</v>
      </c>
      <c r="C175" s="4" t="s">
        <v>143</v>
      </c>
      <c r="D175" s="4" t="s">
        <v>745</v>
      </c>
      <c r="E175" s="4" t="s">
        <v>114</v>
      </c>
      <c r="F175" s="4" t="s">
        <v>746</v>
      </c>
      <c r="G175" s="5">
        <v>42670</v>
      </c>
      <c r="H175" s="52">
        <v>0.55208333333333337</v>
      </c>
      <c r="I175" s="43">
        <v>0.5625</v>
      </c>
      <c r="J175" s="4">
        <v>15</v>
      </c>
      <c r="K175" s="43"/>
      <c r="L175" s="52">
        <v>0.55208333333333337</v>
      </c>
      <c r="M175" s="43">
        <v>0.5625</v>
      </c>
      <c r="N175" s="4">
        <v>15</v>
      </c>
      <c r="O175" s="6" t="s">
        <v>138</v>
      </c>
      <c r="P175" s="4" t="s">
        <v>243</v>
      </c>
      <c r="Q175" s="4"/>
      <c r="R175" s="4"/>
      <c r="S175" s="53">
        <v>0.25</v>
      </c>
      <c r="T175" s="48">
        <v>27</v>
      </c>
      <c r="U175" s="4">
        <v>48</v>
      </c>
      <c r="V175" s="4">
        <f t="shared" si="4"/>
        <v>6.75</v>
      </c>
      <c r="W175" s="4">
        <f t="shared" si="5"/>
        <v>12</v>
      </c>
      <c r="X175" s="4"/>
      <c r="Y175" s="4"/>
    </row>
    <row r="176" spans="1:25" x14ac:dyDescent="0.35">
      <c r="A176" s="8" t="s">
        <v>217</v>
      </c>
      <c r="B176" s="4" t="s">
        <v>23</v>
      </c>
      <c r="C176" s="4" t="s">
        <v>143</v>
      </c>
      <c r="D176" s="4" t="s">
        <v>745</v>
      </c>
      <c r="E176" s="4" t="s">
        <v>114</v>
      </c>
      <c r="F176" s="4" t="s">
        <v>746</v>
      </c>
      <c r="G176" s="5">
        <v>42670</v>
      </c>
      <c r="H176" s="45">
        <v>0.56944444444444442</v>
      </c>
      <c r="I176" s="56">
        <v>0.61111111111111105</v>
      </c>
      <c r="J176" s="4">
        <v>60</v>
      </c>
      <c r="K176" s="43"/>
      <c r="L176" s="45">
        <v>0.56944444444444442</v>
      </c>
      <c r="M176" s="56">
        <v>0.61111111111111105</v>
      </c>
      <c r="N176" s="4">
        <v>60</v>
      </c>
      <c r="O176" s="6" t="s">
        <v>756</v>
      </c>
      <c r="P176" s="4" t="s">
        <v>147</v>
      </c>
      <c r="Q176" s="4"/>
      <c r="R176" s="4"/>
      <c r="S176" s="50">
        <v>1.5</v>
      </c>
      <c r="T176" s="48">
        <v>27</v>
      </c>
      <c r="U176" s="4">
        <v>48</v>
      </c>
      <c r="V176" s="4">
        <f t="shared" si="4"/>
        <v>40.5</v>
      </c>
      <c r="W176" s="4">
        <f t="shared" si="5"/>
        <v>72</v>
      </c>
      <c r="X176" s="4"/>
      <c r="Y176" s="4"/>
    </row>
    <row r="177" spans="1:25" x14ac:dyDescent="0.35">
      <c r="A177" s="8" t="s">
        <v>278</v>
      </c>
      <c r="B177" s="23" t="s">
        <v>40</v>
      </c>
      <c r="C177" s="4" t="s">
        <v>294</v>
      </c>
      <c r="D177" s="4" t="s">
        <v>699</v>
      </c>
      <c r="E177" s="4" t="s">
        <v>114</v>
      </c>
      <c r="F177" s="4" t="s">
        <v>700</v>
      </c>
      <c r="G177" s="5">
        <v>42669</v>
      </c>
      <c r="H177" s="52">
        <v>0.6875</v>
      </c>
      <c r="I177" s="56">
        <v>0.70833333333333337</v>
      </c>
      <c r="J177" s="4">
        <v>30</v>
      </c>
      <c r="K177" s="43"/>
      <c r="L177" s="52">
        <v>0.6875</v>
      </c>
      <c r="M177" s="56">
        <v>0.70833333333333337</v>
      </c>
      <c r="N177" s="4">
        <v>30</v>
      </c>
      <c r="O177" s="6" t="s">
        <v>179</v>
      </c>
      <c r="P177" s="4" t="s">
        <v>50</v>
      </c>
      <c r="Q177" s="4"/>
      <c r="R177" s="4"/>
      <c r="S177" s="50">
        <v>1</v>
      </c>
      <c r="T177" s="48">
        <v>35</v>
      </c>
      <c r="U177" s="4">
        <v>48</v>
      </c>
      <c r="V177" s="4">
        <f t="shared" si="4"/>
        <v>35</v>
      </c>
      <c r="W177" s="4">
        <f t="shared" si="5"/>
        <v>48</v>
      </c>
      <c r="X177" s="4" t="s">
        <v>51</v>
      </c>
      <c r="Y177" s="4"/>
    </row>
    <row r="178" spans="1:25" x14ac:dyDescent="0.35">
      <c r="A178" s="8" t="s">
        <v>278</v>
      </c>
      <c r="B178" s="4" t="s">
        <v>23</v>
      </c>
      <c r="C178" s="4" t="s">
        <v>570</v>
      </c>
      <c r="D178" s="4" t="s">
        <v>571</v>
      </c>
      <c r="E178" s="4" t="s">
        <v>114</v>
      </c>
      <c r="F178" s="4" t="s">
        <v>572</v>
      </c>
      <c r="G178" s="5">
        <v>42669</v>
      </c>
      <c r="H178" s="52">
        <v>0.29166666666666669</v>
      </c>
      <c r="I178" s="43">
        <v>0.30208333333333331</v>
      </c>
      <c r="J178" s="4">
        <v>15</v>
      </c>
      <c r="K178" s="43"/>
      <c r="L178" s="52">
        <v>0.29166666666666669</v>
      </c>
      <c r="M178" s="43">
        <v>0.30208333333333331</v>
      </c>
      <c r="N178" s="4">
        <v>15</v>
      </c>
      <c r="O178" s="6" t="s">
        <v>138</v>
      </c>
      <c r="P178" s="4"/>
      <c r="Q178" s="4"/>
      <c r="R178" s="4"/>
      <c r="S178" s="53">
        <v>0.25</v>
      </c>
      <c r="T178" s="48">
        <v>35</v>
      </c>
      <c r="U178" s="4">
        <v>48</v>
      </c>
      <c r="V178" s="4">
        <f t="shared" si="4"/>
        <v>8.75</v>
      </c>
      <c r="W178" s="4">
        <f t="shared" si="5"/>
        <v>12</v>
      </c>
      <c r="X178" s="4"/>
      <c r="Y178" s="4"/>
    </row>
    <row r="179" spans="1:25" x14ac:dyDescent="0.35">
      <c r="A179" s="8" t="s">
        <v>278</v>
      </c>
      <c r="B179" s="4" t="s">
        <v>23</v>
      </c>
      <c r="C179" s="4" t="s">
        <v>570</v>
      </c>
      <c r="D179" s="4" t="s">
        <v>571</v>
      </c>
      <c r="E179" s="4" t="s">
        <v>114</v>
      </c>
      <c r="F179" s="4" t="s">
        <v>572</v>
      </c>
      <c r="G179" s="5">
        <v>42669</v>
      </c>
      <c r="H179" s="45">
        <v>0.30208333333333331</v>
      </c>
      <c r="I179" s="43">
        <v>0.38541666666666669</v>
      </c>
      <c r="J179" s="4">
        <v>120</v>
      </c>
      <c r="K179" s="43"/>
      <c r="L179" s="45">
        <v>0.30208333333333331</v>
      </c>
      <c r="M179" s="43">
        <v>0.38541666666666669</v>
      </c>
      <c r="N179" s="4">
        <v>120</v>
      </c>
      <c r="O179" s="6" t="s">
        <v>115</v>
      </c>
      <c r="P179" s="4"/>
      <c r="Q179" s="4"/>
      <c r="R179" s="4"/>
      <c r="S179" s="53">
        <v>2</v>
      </c>
      <c r="T179" s="48">
        <v>35</v>
      </c>
      <c r="U179" s="4">
        <v>48</v>
      </c>
      <c r="V179" s="4">
        <f t="shared" si="4"/>
        <v>70</v>
      </c>
      <c r="W179" s="4">
        <f t="shared" si="5"/>
        <v>96</v>
      </c>
      <c r="X179" s="4"/>
      <c r="Y179" s="4"/>
    </row>
    <row r="180" spans="1:25" x14ac:dyDescent="0.35">
      <c r="A180" s="8" t="s">
        <v>278</v>
      </c>
      <c r="B180" s="4" t="s">
        <v>23</v>
      </c>
      <c r="C180" s="4" t="s">
        <v>570</v>
      </c>
      <c r="D180" s="4" t="s">
        <v>571</v>
      </c>
      <c r="E180" s="4" t="s">
        <v>114</v>
      </c>
      <c r="F180" s="4" t="s">
        <v>572</v>
      </c>
      <c r="G180" s="5">
        <v>42669</v>
      </c>
      <c r="H180" s="45">
        <v>0.39583333333333331</v>
      </c>
      <c r="I180" s="56">
        <v>0.45833333333333331</v>
      </c>
      <c r="J180" s="4">
        <v>120</v>
      </c>
      <c r="K180" s="43"/>
      <c r="L180" s="45">
        <v>0.39583333333333331</v>
      </c>
      <c r="M180" s="56">
        <v>0.45833333333333331</v>
      </c>
      <c r="N180" s="4">
        <v>120</v>
      </c>
      <c r="O180" s="6" t="s">
        <v>115</v>
      </c>
      <c r="P180" s="4"/>
      <c r="Q180" s="59" t="s">
        <v>809</v>
      </c>
      <c r="R180" s="4"/>
      <c r="S180" s="50">
        <v>4</v>
      </c>
      <c r="T180" s="48">
        <v>35</v>
      </c>
      <c r="U180" s="4">
        <v>48</v>
      </c>
      <c r="V180" s="4">
        <f t="shared" si="4"/>
        <v>140</v>
      </c>
      <c r="W180" s="4">
        <f t="shared" si="5"/>
        <v>192</v>
      </c>
      <c r="X180" s="4"/>
      <c r="Y180" s="4"/>
    </row>
    <row r="181" spans="1:25" x14ac:dyDescent="0.35">
      <c r="A181" s="8" t="s">
        <v>123</v>
      </c>
      <c r="B181" s="4" t="s">
        <v>23</v>
      </c>
      <c r="C181" s="4" t="s">
        <v>218</v>
      </c>
      <c r="D181" s="4" t="s">
        <v>219</v>
      </c>
      <c r="E181" s="4" t="s">
        <v>114</v>
      </c>
      <c r="F181" s="4" t="s">
        <v>220</v>
      </c>
      <c r="G181" s="5">
        <v>42668</v>
      </c>
      <c r="H181" s="52">
        <v>0.54166666666666663</v>
      </c>
      <c r="I181" s="56">
        <v>0.5625</v>
      </c>
      <c r="J181" s="4">
        <v>30</v>
      </c>
      <c r="K181" s="43"/>
      <c r="L181" s="52">
        <v>0.54166666666666663</v>
      </c>
      <c r="M181" s="56">
        <v>0.5625</v>
      </c>
      <c r="N181" s="4">
        <v>30</v>
      </c>
      <c r="O181" s="4" t="s">
        <v>519</v>
      </c>
      <c r="P181" s="4" t="s">
        <v>520</v>
      </c>
      <c r="Q181" s="4"/>
      <c r="R181" s="4"/>
      <c r="S181" s="50">
        <v>1</v>
      </c>
      <c r="T181" s="48">
        <v>30</v>
      </c>
      <c r="U181" s="4">
        <v>48</v>
      </c>
      <c r="V181" s="4">
        <f t="shared" si="4"/>
        <v>30</v>
      </c>
      <c r="W181" s="4">
        <f t="shared" si="5"/>
        <v>48</v>
      </c>
      <c r="X181" s="4"/>
      <c r="Y181" s="4"/>
    </row>
    <row r="182" spans="1:25" x14ac:dyDescent="0.35">
      <c r="A182" s="8" t="s">
        <v>123</v>
      </c>
      <c r="B182" s="10" t="s">
        <v>86</v>
      </c>
      <c r="C182" s="4" t="s">
        <v>124</v>
      </c>
      <c r="D182" s="4" t="s">
        <v>125</v>
      </c>
      <c r="E182" s="4" t="s">
        <v>114</v>
      </c>
      <c r="F182" s="4" t="s">
        <v>126</v>
      </c>
      <c r="G182" s="5">
        <v>42668</v>
      </c>
      <c r="H182" s="52">
        <v>0.5</v>
      </c>
      <c r="I182" s="56">
        <v>0.6875</v>
      </c>
      <c r="J182" s="4">
        <v>270</v>
      </c>
      <c r="K182" s="43"/>
      <c r="L182" s="52">
        <v>0.5</v>
      </c>
      <c r="M182" s="56">
        <v>0.6875</v>
      </c>
      <c r="N182" s="4">
        <v>270</v>
      </c>
      <c r="O182" s="4" t="s">
        <v>26</v>
      </c>
      <c r="P182" s="4" t="s">
        <v>34</v>
      </c>
      <c r="Q182" s="4"/>
      <c r="R182" s="4"/>
      <c r="S182" s="50">
        <v>4.5</v>
      </c>
      <c r="T182" s="48">
        <v>30</v>
      </c>
      <c r="U182" s="4">
        <v>48</v>
      </c>
      <c r="V182" s="4">
        <f t="shared" si="4"/>
        <v>135</v>
      </c>
      <c r="W182" s="4">
        <f t="shared" si="5"/>
        <v>216</v>
      </c>
      <c r="X182" s="4"/>
      <c r="Y182" s="4"/>
    </row>
    <row r="183" spans="1:25" x14ac:dyDescent="0.35">
      <c r="A183" s="8" t="s">
        <v>123</v>
      </c>
      <c r="B183" s="4" t="s">
        <v>23</v>
      </c>
      <c r="C183" s="4" t="s">
        <v>422</v>
      </c>
      <c r="D183" s="4" t="s">
        <v>423</v>
      </c>
      <c r="E183" s="4" t="s">
        <v>114</v>
      </c>
      <c r="F183" s="4" t="s">
        <v>424</v>
      </c>
      <c r="G183" s="5">
        <v>42668</v>
      </c>
      <c r="H183" s="52">
        <v>0.46875</v>
      </c>
      <c r="I183" s="56">
        <v>0.5</v>
      </c>
      <c r="J183" s="4">
        <v>45</v>
      </c>
      <c r="K183" s="43"/>
      <c r="L183" s="52">
        <v>0.46875</v>
      </c>
      <c r="M183" s="56">
        <v>0.5</v>
      </c>
      <c r="N183" s="4">
        <v>45</v>
      </c>
      <c r="O183" s="6" t="s">
        <v>290</v>
      </c>
      <c r="P183" s="4"/>
      <c r="Q183" s="4"/>
      <c r="R183" s="4"/>
      <c r="S183" s="50">
        <v>1</v>
      </c>
      <c r="T183" s="48">
        <v>30</v>
      </c>
      <c r="U183" s="4">
        <v>48</v>
      </c>
      <c r="V183" s="4">
        <f t="shared" si="4"/>
        <v>30</v>
      </c>
      <c r="W183" s="4">
        <f t="shared" si="5"/>
        <v>48</v>
      </c>
      <c r="X183" s="4"/>
      <c r="Y183" s="4"/>
    </row>
    <row r="184" spans="1:25" x14ac:dyDescent="0.35">
      <c r="A184" s="8" t="s">
        <v>123</v>
      </c>
      <c r="B184" s="10" t="s">
        <v>40</v>
      </c>
      <c r="C184" s="4" t="s">
        <v>365</v>
      </c>
      <c r="D184" s="4" t="s">
        <v>366</v>
      </c>
      <c r="E184" s="4" t="s">
        <v>114</v>
      </c>
      <c r="F184" s="4" t="s">
        <v>367</v>
      </c>
      <c r="G184" s="5">
        <v>42669</v>
      </c>
      <c r="H184" s="52">
        <v>0.3125</v>
      </c>
      <c r="I184" s="56">
        <v>0.41666666666666669</v>
      </c>
      <c r="J184" s="4">
        <v>150</v>
      </c>
      <c r="K184" s="43"/>
      <c r="L184" s="52">
        <v>0.3125</v>
      </c>
      <c r="M184" s="56">
        <v>0.41666666666666669</v>
      </c>
      <c r="N184" s="4">
        <v>150</v>
      </c>
      <c r="O184" s="6" t="s">
        <v>115</v>
      </c>
      <c r="P184" s="4" t="s">
        <v>228</v>
      </c>
      <c r="Q184" s="4"/>
      <c r="R184" s="4"/>
      <c r="S184" s="50">
        <v>2.5</v>
      </c>
      <c r="T184" s="48">
        <v>30</v>
      </c>
      <c r="U184" s="4">
        <v>48</v>
      </c>
      <c r="V184" s="4">
        <f t="shared" si="4"/>
        <v>75</v>
      </c>
      <c r="W184" s="4">
        <f t="shared" si="5"/>
        <v>120</v>
      </c>
      <c r="X184" s="4"/>
      <c r="Y184" s="4"/>
    </row>
    <row r="185" spans="1:25" x14ac:dyDescent="0.35">
      <c r="A185" s="8" t="s">
        <v>123</v>
      </c>
      <c r="B185" s="4" t="s">
        <v>23</v>
      </c>
      <c r="C185" s="4" t="s">
        <v>218</v>
      </c>
      <c r="D185" s="4" t="s">
        <v>219</v>
      </c>
      <c r="E185" s="4" t="s">
        <v>114</v>
      </c>
      <c r="F185" s="4" t="s">
        <v>220</v>
      </c>
      <c r="G185" s="5">
        <v>42669</v>
      </c>
      <c r="H185" s="52">
        <v>0.45833333333333331</v>
      </c>
      <c r="I185" s="43">
        <v>0.48958333333333331</v>
      </c>
      <c r="J185" s="4">
        <v>45</v>
      </c>
      <c r="K185" s="43"/>
      <c r="L185" s="52">
        <v>0.45833333333333331</v>
      </c>
      <c r="M185" s="43">
        <v>0.48958333333333331</v>
      </c>
      <c r="N185" s="4">
        <v>45</v>
      </c>
      <c r="O185" s="4" t="s">
        <v>334</v>
      </c>
      <c r="P185" s="4" t="s">
        <v>335</v>
      </c>
      <c r="Q185" s="4"/>
      <c r="R185" s="4"/>
      <c r="S185" s="53">
        <v>0.75</v>
      </c>
      <c r="T185" s="48">
        <v>30</v>
      </c>
      <c r="U185" s="4">
        <v>48</v>
      </c>
      <c r="V185" s="4">
        <f t="shared" si="4"/>
        <v>22.5</v>
      </c>
      <c r="W185" s="4">
        <f t="shared" si="5"/>
        <v>36</v>
      </c>
      <c r="X185" s="4" t="s">
        <v>395</v>
      </c>
      <c r="Y185" s="4"/>
    </row>
    <row r="186" spans="1:25" x14ac:dyDescent="0.35">
      <c r="A186" s="8" t="s">
        <v>123</v>
      </c>
      <c r="B186" s="10" t="s">
        <v>86</v>
      </c>
      <c r="C186" s="4" t="s">
        <v>218</v>
      </c>
      <c r="D186" s="4" t="s">
        <v>219</v>
      </c>
      <c r="E186" s="4" t="s">
        <v>114</v>
      </c>
      <c r="F186" s="4" t="s">
        <v>220</v>
      </c>
      <c r="G186" s="5">
        <v>42669</v>
      </c>
      <c r="H186" s="43">
        <v>0.54166666666666663</v>
      </c>
      <c r="I186" s="56">
        <v>0.58333333333333326</v>
      </c>
      <c r="J186" s="4">
        <v>60</v>
      </c>
      <c r="K186" s="43"/>
      <c r="L186" s="43">
        <v>0.54166666666666663</v>
      </c>
      <c r="M186" s="56">
        <v>0.58333333333333326</v>
      </c>
      <c r="N186" s="4">
        <v>60</v>
      </c>
      <c r="O186" s="4" t="s">
        <v>110</v>
      </c>
      <c r="P186" s="4" t="s">
        <v>221</v>
      </c>
      <c r="Q186" s="59" t="s">
        <v>809</v>
      </c>
      <c r="R186" s="4"/>
      <c r="S186" s="50">
        <v>3</v>
      </c>
      <c r="T186" s="48">
        <v>30</v>
      </c>
      <c r="U186" s="4">
        <v>48</v>
      </c>
      <c r="V186" s="4">
        <f t="shared" si="4"/>
        <v>90</v>
      </c>
      <c r="W186" s="4">
        <f t="shared" si="5"/>
        <v>144</v>
      </c>
      <c r="X186" s="4"/>
      <c r="Y186" s="4"/>
    </row>
    <row r="187" spans="1:25" x14ac:dyDescent="0.35">
      <c r="A187" s="8" t="s">
        <v>123</v>
      </c>
      <c r="B187" s="4" t="s">
        <v>23</v>
      </c>
      <c r="C187" s="4" t="s">
        <v>218</v>
      </c>
      <c r="D187" s="4" t="s">
        <v>219</v>
      </c>
      <c r="E187" s="4" t="s">
        <v>114</v>
      </c>
      <c r="F187" s="4" t="s">
        <v>220</v>
      </c>
      <c r="G187" s="5">
        <v>42669</v>
      </c>
      <c r="H187" s="52">
        <v>0.70833333333333337</v>
      </c>
      <c r="I187" s="56">
        <v>0.75</v>
      </c>
      <c r="J187" s="4">
        <v>60</v>
      </c>
      <c r="K187" s="43"/>
      <c r="L187" s="52">
        <v>0.70833333333333337</v>
      </c>
      <c r="M187" s="56">
        <v>0.75</v>
      </c>
      <c r="N187" s="4">
        <v>60</v>
      </c>
      <c r="O187" s="6" t="s">
        <v>26</v>
      </c>
      <c r="P187" s="4"/>
      <c r="Q187" s="4"/>
      <c r="R187" s="4"/>
      <c r="S187" s="50">
        <v>1</v>
      </c>
      <c r="T187" s="48">
        <v>30</v>
      </c>
      <c r="U187" s="4">
        <v>48</v>
      </c>
      <c r="V187" s="4">
        <f t="shared" si="4"/>
        <v>30</v>
      </c>
      <c r="W187" s="4">
        <f t="shared" si="5"/>
        <v>48</v>
      </c>
      <c r="X187" s="4"/>
      <c r="Y187" s="4"/>
    </row>
    <row r="188" spans="1:25" x14ac:dyDescent="0.35">
      <c r="A188" s="8" t="s">
        <v>123</v>
      </c>
      <c r="B188" s="4" t="s">
        <v>23</v>
      </c>
      <c r="C188" s="4" t="s">
        <v>683</v>
      </c>
      <c r="D188" s="4" t="s">
        <v>684</v>
      </c>
      <c r="E188" s="4" t="s">
        <v>114</v>
      </c>
      <c r="F188" s="4" t="s">
        <v>685</v>
      </c>
      <c r="G188" s="5">
        <v>42669</v>
      </c>
      <c r="H188" s="52">
        <v>0.6875</v>
      </c>
      <c r="I188" s="43">
        <v>0.70833333333333337</v>
      </c>
      <c r="J188" s="4">
        <v>60</v>
      </c>
      <c r="K188" s="43"/>
      <c r="L188" s="52">
        <v>0.6875</v>
      </c>
      <c r="M188" s="43">
        <v>0.70833333333333337</v>
      </c>
      <c r="N188" s="4">
        <v>60</v>
      </c>
      <c r="O188" s="6" t="s">
        <v>461</v>
      </c>
      <c r="P188" s="4" t="s">
        <v>50</v>
      </c>
      <c r="Q188" s="4"/>
      <c r="R188" s="4"/>
      <c r="S188" s="53">
        <v>0.5</v>
      </c>
      <c r="T188" s="48">
        <v>30</v>
      </c>
      <c r="U188" s="4">
        <v>48</v>
      </c>
      <c r="V188" s="4">
        <f t="shared" si="4"/>
        <v>15</v>
      </c>
      <c r="W188" s="4">
        <f t="shared" si="5"/>
        <v>24</v>
      </c>
      <c r="X188" s="4"/>
      <c r="Y188" s="4"/>
    </row>
    <row r="189" spans="1:25" x14ac:dyDescent="0.35">
      <c r="A189" s="8" t="s">
        <v>123</v>
      </c>
      <c r="B189" s="4" t="s">
        <v>23</v>
      </c>
      <c r="C189" s="4" t="s">
        <v>683</v>
      </c>
      <c r="D189" s="4" t="s">
        <v>684</v>
      </c>
      <c r="E189" s="4" t="s">
        <v>114</v>
      </c>
      <c r="F189" s="4" t="s">
        <v>685</v>
      </c>
      <c r="G189" s="5">
        <v>42669</v>
      </c>
      <c r="H189" s="45">
        <v>0.77083333333333337</v>
      </c>
      <c r="I189" s="56">
        <v>0.83333333333333337</v>
      </c>
      <c r="J189" s="4">
        <v>90</v>
      </c>
      <c r="K189" s="43"/>
      <c r="L189" s="45">
        <v>0.77083333333333337</v>
      </c>
      <c r="M189" s="56">
        <v>0.83333333333333337</v>
      </c>
      <c r="N189" s="4">
        <v>90</v>
      </c>
      <c r="O189" s="6" t="s">
        <v>26</v>
      </c>
      <c r="P189" s="4" t="s">
        <v>711</v>
      </c>
      <c r="Q189" s="59" t="s">
        <v>809</v>
      </c>
      <c r="R189" s="4"/>
      <c r="S189" s="50">
        <v>3.5</v>
      </c>
      <c r="T189" s="48">
        <v>30</v>
      </c>
      <c r="U189" s="4">
        <v>48</v>
      </c>
      <c r="V189" s="4">
        <f t="shared" si="4"/>
        <v>105</v>
      </c>
      <c r="W189" s="4">
        <f t="shared" si="5"/>
        <v>168</v>
      </c>
      <c r="X189" s="4"/>
      <c r="Y189" s="4"/>
    </row>
    <row r="190" spans="1:25" x14ac:dyDescent="0.35">
      <c r="A190" s="8" t="s">
        <v>123</v>
      </c>
      <c r="B190" s="10" t="s">
        <v>40</v>
      </c>
      <c r="C190" s="4" t="s">
        <v>365</v>
      </c>
      <c r="D190" s="4" t="s">
        <v>366</v>
      </c>
      <c r="E190" s="4" t="s">
        <v>114</v>
      </c>
      <c r="F190" s="4" t="s">
        <v>367</v>
      </c>
      <c r="G190" s="5">
        <v>42670</v>
      </c>
      <c r="H190" s="52">
        <v>0.35416666666666669</v>
      </c>
      <c r="I190" s="43">
        <v>0.375</v>
      </c>
      <c r="J190" s="4">
        <v>30</v>
      </c>
      <c r="K190" s="43"/>
      <c r="L190" s="52">
        <v>0.35416666666666669</v>
      </c>
      <c r="M190" s="43">
        <v>0.375</v>
      </c>
      <c r="N190" s="4">
        <v>30</v>
      </c>
      <c r="O190" s="6" t="s">
        <v>49</v>
      </c>
      <c r="P190" s="4" t="s">
        <v>50</v>
      </c>
      <c r="Q190" s="4"/>
      <c r="R190" s="4"/>
      <c r="S190" s="53">
        <v>0.5</v>
      </c>
      <c r="T190" s="48">
        <v>30</v>
      </c>
      <c r="U190" s="4">
        <v>48</v>
      </c>
      <c r="V190" s="4">
        <f t="shared" si="4"/>
        <v>15</v>
      </c>
      <c r="W190" s="4">
        <f t="shared" si="5"/>
        <v>24</v>
      </c>
      <c r="X190" s="4"/>
      <c r="Y190" s="4"/>
    </row>
    <row r="191" spans="1:25" x14ac:dyDescent="0.35">
      <c r="A191" s="8" t="s">
        <v>123</v>
      </c>
      <c r="B191" s="10" t="s">
        <v>40</v>
      </c>
      <c r="C191" s="4" t="s">
        <v>365</v>
      </c>
      <c r="D191" s="4" t="s">
        <v>366</v>
      </c>
      <c r="E191" s="4" t="s">
        <v>114</v>
      </c>
      <c r="F191" s="4" t="s">
        <v>367</v>
      </c>
      <c r="G191" s="5">
        <v>42670</v>
      </c>
      <c r="H191" s="45">
        <v>0.39583333333333331</v>
      </c>
      <c r="I191" s="56">
        <v>0.4375</v>
      </c>
      <c r="J191" s="4">
        <v>60</v>
      </c>
      <c r="K191" s="43"/>
      <c r="L191" s="45">
        <v>0.39583333333333331</v>
      </c>
      <c r="M191" s="56">
        <v>0.4375</v>
      </c>
      <c r="N191" s="4">
        <v>60</v>
      </c>
      <c r="O191" s="6" t="s">
        <v>26</v>
      </c>
      <c r="P191" s="4" t="s">
        <v>463</v>
      </c>
      <c r="Q191" s="4"/>
      <c r="R191" s="4"/>
      <c r="S191" s="50">
        <v>2</v>
      </c>
      <c r="T191" s="48">
        <v>30</v>
      </c>
      <c r="U191" s="4">
        <v>48</v>
      </c>
      <c r="V191" s="4">
        <f t="shared" si="4"/>
        <v>60</v>
      </c>
      <c r="W191" s="4">
        <f t="shared" si="5"/>
        <v>96</v>
      </c>
      <c r="X191" s="4"/>
      <c r="Y191" s="4"/>
    </row>
    <row r="192" spans="1:25" x14ac:dyDescent="0.35">
      <c r="A192" s="8" t="s">
        <v>123</v>
      </c>
      <c r="B192" s="10" t="s">
        <v>40</v>
      </c>
      <c r="C192" s="4" t="s">
        <v>124</v>
      </c>
      <c r="D192" s="4" t="s">
        <v>125</v>
      </c>
      <c r="E192" s="4" t="s">
        <v>114</v>
      </c>
      <c r="F192" s="4" t="s">
        <v>126</v>
      </c>
      <c r="G192" s="5">
        <v>42670</v>
      </c>
      <c r="H192" s="52">
        <v>0.39583333333333331</v>
      </c>
      <c r="I192" s="43">
        <v>0.40625</v>
      </c>
      <c r="J192" s="4">
        <v>15</v>
      </c>
      <c r="K192" s="43"/>
      <c r="L192" s="52">
        <v>0.39583333333333331</v>
      </c>
      <c r="M192" s="43">
        <v>0.40625</v>
      </c>
      <c r="N192" s="4">
        <v>15</v>
      </c>
      <c r="O192" s="4" t="s">
        <v>46</v>
      </c>
      <c r="P192" s="4" t="s">
        <v>47</v>
      </c>
      <c r="Q192" s="4"/>
      <c r="R192" s="4"/>
      <c r="S192" s="53">
        <v>0.25</v>
      </c>
      <c r="T192" s="48">
        <v>30</v>
      </c>
      <c r="U192" s="4">
        <v>48</v>
      </c>
      <c r="V192" s="4">
        <f t="shared" si="4"/>
        <v>7.5</v>
      </c>
      <c r="W192" s="4">
        <f t="shared" si="5"/>
        <v>12</v>
      </c>
      <c r="X192" s="4" t="s">
        <v>671</v>
      </c>
      <c r="Y192" s="4"/>
    </row>
    <row r="193" spans="1:25" x14ac:dyDescent="0.35">
      <c r="A193" s="8" t="s">
        <v>123</v>
      </c>
      <c r="B193" s="10" t="s">
        <v>40</v>
      </c>
      <c r="C193" s="4" t="s">
        <v>124</v>
      </c>
      <c r="D193" s="4" t="s">
        <v>125</v>
      </c>
      <c r="E193" s="4" t="s">
        <v>114</v>
      </c>
      <c r="F193" s="4" t="s">
        <v>126</v>
      </c>
      <c r="G193" s="5">
        <v>42670</v>
      </c>
      <c r="H193" s="43">
        <v>0.40625</v>
      </c>
      <c r="I193" s="43">
        <v>0.4375</v>
      </c>
      <c r="J193" s="4">
        <v>45</v>
      </c>
      <c r="K193" s="43"/>
      <c r="L193" s="43">
        <v>0.40625</v>
      </c>
      <c r="M193" s="43">
        <v>0.4375</v>
      </c>
      <c r="N193" s="4">
        <v>45</v>
      </c>
      <c r="O193" s="4" t="s">
        <v>141</v>
      </c>
      <c r="P193" s="4" t="s">
        <v>142</v>
      </c>
      <c r="Q193" s="4"/>
      <c r="R193" s="4"/>
      <c r="S193" s="53">
        <v>0.75</v>
      </c>
      <c r="T193" s="48">
        <v>30</v>
      </c>
      <c r="U193" s="4">
        <v>48</v>
      </c>
      <c r="V193" s="4">
        <f t="shared" si="4"/>
        <v>22.5</v>
      </c>
      <c r="W193" s="4">
        <f t="shared" si="5"/>
        <v>36</v>
      </c>
      <c r="X193" s="4"/>
      <c r="Y193" s="4"/>
    </row>
    <row r="194" spans="1:25" x14ac:dyDescent="0.35">
      <c r="A194" s="8" t="s">
        <v>123</v>
      </c>
      <c r="B194" s="10" t="s">
        <v>86</v>
      </c>
      <c r="C194" s="4" t="s">
        <v>124</v>
      </c>
      <c r="D194" s="4" t="s">
        <v>125</v>
      </c>
      <c r="E194" s="4" t="s">
        <v>114</v>
      </c>
      <c r="F194" s="4" t="s">
        <v>126</v>
      </c>
      <c r="G194" s="5">
        <v>42670</v>
      </c>
      <c r="H194" s="45">
        <v>0.42708333333333331</v>
      </c>
      <c r="I194" s="56">
        <v>0.4375</v>
      </c>
      <c r="J194" s="4">
        <v>15</v>
      </c>
      <c r="K194" s="43"/>
      <c r="L194" s="45">
        <v>0.42708333333333331</v>
      </c>
      <c r="M194" s="56">
        <v>0.4375</v>
      </c>
      <c r="N194" s="4">
        <v>15</v>
      </c>
      <c r="O194" s="6" t="s">
        <v>46</v>
      </c>
      <c r="P194" s="4" t="s">
        <v>47</v>
      </c>
      <c r="Q194" s="59" t="s">
        <v>811</v>
      </c>
      <c r="R194" s="4"/>
      <c r="S194" s="50">
        <v>1</v>
      </c>
      <c r="T194" s="48">
        <v>30</v>
      </c>
      <c r="U194" s="4">
        <v>48</v>
      </c>
      <c r="V194" s="4">
        <f t="shared" ref="V194:V216" si="6">T194*S194</f>
        <v>30</v>
      </c>
      <c r="W194" s="4">
        <f t="shared" ref="W194:W216" si="7">U194*S194</f>
        <v>48</v>
      </c>
      <c r="X194" s="4"/>
      <c r="Y194" s="4"/>
    </row>
    <row r="195" spans="1:25" x14ac:dyDescent="0.35">
      <c r="A195" s="8" t="s">
        <v>123</v>
      </c>
      <c r="B195" s="10" t="s">
        <v>40</v>
      </c>
      <c r="C195" s="4" t="s">
        <v>124</v>
      </c>
      <c r="D195" s="4" t="s">
        <v>125</v>
      </c>
      <c r="E195" s="4" t="s">
        <v>114</v>
      </c>
      <c r="F195" s="4" t="s">
        <v>126</v>
      </c>
      <c r="G195" s="5">
        <v>42670</v>
      </c>
      <c r="H195" s="52">
        <v>0.5</v>
      </c>
      <c r="I195" s="43">
        <v>0.6875</v>
      </c>
      <c r="J195" s="4">
        <v>270</v>
      </c>
      <c r="K195" s="43"/>
      <c r="L195" s="52">
        <v>0.5</v>
      </c>
      <c r="M195" s="43">
        <v>0.6875</v>
      </c>
      <c r="N195" s="4">
        <v>270</v>
      </c>
      <c r="O195" s="4" t="s">
        <v>26</v>
      </c>
      <c r="P195" s="4" t="s">
        <v>34</v>
      </c>
      <c r="Q195" s="4"/>
      <c r="R195" s="4"/>
      <c r="S195" s="53">
        <v>4.5</v>
      </c>
      <c r="T195" s="48">
        <v>30</v>
      </c>
      <c r="U195" s="4">
        <v>48</v>
      </c>
      <c r="V195" s="4">
        <f t="shared" si="6"/>
        <v>135</v>
      </c>
      <c r="W195" s="4">
        <f t="shared" si="7"/>
        <v>216</v>
      </c>
      <c r="X195" s="4"/>
      <c r="Y195" s="4"/>
    </row>
    <row r="196" spans="1:25" x14ac:dyDescent="0.35">
      <c r="A196" s="8" t="s">
        <v>123</v>
      </c>
      <c r="B196" s="10" t="s">
        <v>40</v>
      </c>
      <c r="C196" s="4" t="s">
        <v>124</v>
      </c>
      <c r="D196" s="4" t="s">
        <v>125</v>
      </c>
      <c r="E196" s="4" t="s">
        <v>114</v>
      </c>
      <c r="F196" s="4" t="s">
        <v>126</v>
      </c>
      <c r="G196" s="5">
        <v>42670</v>
      </c>
      <c r="H196" s="43">
        <v>0.5625</v>
      </c>
      <c r="I196" s="56">
        <v>0.58333333333333337</v>
      </c>
      <c r="J196" s="4">
        <v>30</v>
      </c>
      <c r="K196" s="43"/>
      <c r="L196" s="43">
        <v>0.5625</v>
      </c>
      <c r="M196" s="56">
        <v>0.58333333333333337</v>
      </c>
      <c r="N196" s="4">
        <v>30</v>
      </c>
      <c r="O196" s="4" t="s">
        <v>110</v>
      </c>
      <c r="P196" s="4" t="s">
        <v>160</v>
      </c>
      <c r="Q196" s="59" t="s">
        <v>811</v>
      </c>
      <c r="R196" s="4"/>
      <c r="S196" s="50">
        <v>4.5</v>
      </c>
      <c r="T196" s="48">
        <v>30</v>
      </c>
      <c r="U196" s="4">
        <v>48</v>
      </c>
      <c r="V196" s="4">
        <f t="shared" si="6"/>
        <v>135</v>
      </c>
      <c r="W196" s="4">
        <f t="shared" si="7"/>
        <v>216</v>
      </c>
      <c r="X196" s="4"/>
      <c r="Y196" s="4"/>
    </row>
    <row r="197" spans="1:25" x14ac:dyDescent="0.35">
      <c r="A197" s="8" t="s">
        <v>123</v>
      </c>
      <c r="B197" s="4" t="s">
        <v>23</v>
      </c>
      <c r="C197" s="4" t="s">
        <v>454</v>
      </c>
      <c r="D197" s="4" t="s">
        <v>732</v>
      </c>
      <c r="E197" s="4" t="s">
        <v>114</v>
      </c>
      <c r="F197" s="4" t="s">
        <v>733</v>
      </c>
      <c r="G197" s="5">
        <v>42670</v>
      </c>
      <c r="H197" s="52">
        <v>0.4375</v>
      </c>
      <c r="I197" s="43">
        <v>0.45833333333333331</v>
      </c>
      <c r="J197" s="4">
        <v>30</v>
      </c>
      <c r="K197" s="43"/>
      <c r="L197" s="52">
        <v>0.4375</v>
      </c>
      <c r="M197" s="43">
        <v>0.45833333333333331</v>
      </c>
      <c r="N197" s="4">
        <v>30</v>
      </c>
      <c r="O197" s="4" t="s">
        <v>179</v>
      </c>
      <c r="P197" s="4"/>
      <c r="Q197" s="4"/>
      <c r="R197" s="4"/>
      <c r="S197" s="53">
        <v>0.5</v>
      </c>
      <c r="T197" s="48">
        <v>30</v>
      </c>
      <c r="U197" s="4">
        <v>48</v>
      </c>
      <c r="V197" s="4">
        <f t="shared" si="6"/>
        <v>15</v>
      </c>
      <c r="W197" s="4">
        <f t="shared" si="7"/>
        <v>24</v>
      </c>
      <c r="X197" s="4"/>
      <c r="Y197" s="4"/>
    </row>
    <row r="198" spans="1:25" x14ac:dyDescent="0.35">
      <c r="A198" s="8" t="s">
        <v>123</v>
      </c>
      <c r="B198" s="4" t="s">
        <v>23</v>
      </c>
      <c r="C198" s="4" t="s">
        <v>454</v>
      </c>
      <c r="D198" s="4" t="s">
        <v>732</v>
      </c>
      <c r="E198" s="4" t="s">
        <v>114</v>
      </c>
      <c r="F198" s="4" t="s">
        <v>733</v>
      </c>
      <c r="G198" s="5">
        <v>42670</v>
      </c>
      <c r="H198" s="43">
        <v>0.47916666666666669</v>
      </c>
      <c r="I198" s="43">
        <v>0.72916666666666663</v>
      </c>
      <c r="J198" s="4">
        <v>360</v>
      </c>
      <c r="K198" s="43"/>
      <c r="L198" s="43">
        <v>0.47916666666666669</v>
      </c>
      <c r="M198" s="43">
        <v>0.72916666666666663</v>
      </c>
      <c r="N198" s="4">
        <v>360</v>
      </c>
      <c r="O198" s="4" t="s">
        <v>26</v>
      </c>
      <c r="P198" s="4"/>
      <c r="Q198" s="4"/>
      <c r="R198" s="4"/>
      <c r="S198" s="53">
        <v>6</v>
      </c>
      <c r="T198" s="48">
        <v>30</v>
      </c>
      <c r="U198" s="4">
        <v>48</v>
      </c>
      <c r="V198" s="4">
        <f t="shared" si="6"/>
        <v>180</v>
      </c>
      <c r="W198" s="4">
        <f t="shared" si="7"/>
        <v>288</v>
      </c>
      <c r="X198" s="4"/>
      <c r="Y198" s="4"/>
    </row>
    <row r="199" spans="1:25" x14ac:dyDescent="0.35">
      <c r="A199" s="8" t="s">
        <v>123</v>
      </c>
      <c r="B199" s="4" t="s">
        <v>23</v>
      </c>
      <c r="C199" s="4" t="s">
        <v>454</v>
      </c>
      <c r="D199" s="4" t="s">
        <v>732</v>
      </c>
      <c r="E199" s="4" t="s">
        <v>114</v>
      </c>
      <c r="F199" s="4" t="s">
        <v>733</v>
      </c>
      <c r="G199" s="5">
        <v>42670</v>
      </c>
      <c r="H199" s="43">
        <v>0.72916666666666663</v>
      </c>
      <c r="I199" s="56">
        <v>0.73958333333333337</v>
      </c>
      <c r="J199" s="4">
        <v>15</v>
      </c>
      <c r="K199" s="43"/>
      <c r="L199" s="43">
        <v>0.72916666666666663</v>
      </c>
      <c r="M199" s="56">
        <v>0.73958333333333337</v>
      </c>
      <c r="N199" s="4">
        <v>15</v>
      </c>
      <c r="O199" s="4" t="s">
        <v>26</v>
      </c>
      <c r="P199" s="4"/>
      <c r="Q199" s="4"/>
      <c r="R199" s="4"/>
      <c r="S199" s="50">
        <v>7.25</v>
      </c>
      <c r="T199" s="48">
        <v>30</v>
      </c>
      <c r="U199" s="4">
        <v>48</v>
      </c>
      <c r="V199" s="4">
        <f t="shared" si="6"/>
        <v>217.5</v>
      </c>
      <c r="W199" s="4">
        <f t="shared" si="7"/>
        <v>348</v>
      </c>
      <c r="X199" s="4"/>
      <c r="Y199" s="4"/>
    </row>
    <row r="200" spans="1:25" x14ac:dyDescent="0.35">
      <c r="A200" s="8" t="s">
        <v>333</v>
      </c>
      <c r="B200" s="23" t="s">
        <v>40</v>
      </c>
      <c r="C200" s="4" t="s">
        <v>559</v>
      </c>
      <c r="D200" s="4" t="s">
        <v>560</v>
      </c>
      <c r="E200" s="4" t="s">
        <v>32</v>
      </c>
      <c r="F200" s="4" t="s">
        <v>561</v>
      </c>
      <c r="G200" s="5">
        <v>42670</v>
      </c>
      <c r="H200" s="52">
        <v>0.35416666666666669</v>
      </c>
      <c r="I200" s="56">
        <v>0.45833333333333331</v>
      </c>
      <c r="J200" s="4">
        <v>150</v>
      </c>
      <c r="K200" s="43"/>
      <c r="L200" s="52">
        <v>0.35416666666666669</v>
      </c>
      <c r="M200" s="56">
        <v>0.45833333333333331</v>
      </c>
      <c r="N200" s="4">
        <v>150</v>
      </c>
      <c r="O200" s="4" t="s">
        <v>115</v>
      </c>
      <c r="P200" s="4" t="s">
        <v>116</v>
      </c>
      <c r="Q200" s="4"/>
      <c r="R200" s="4"/>
      <c r="S200" s="50">
        <v>2.5</v>
      </c>
      <c r="T200" s="4"/>
      <c r="U200" s="4">
        <v>48</v>
      </c>
      <c r="V200" s="4">
        <f t="shared" si="6"/>
        <v>0</v>
      </c>
      <c r="W200" s="4">
        <f t="shared" si="7"/>
        <v>120</v>
      </c>
      <c r="X200" s="4"/>
      <c r="Y200" s="4"/>
    </row>
    <row r="201" spans="1:25" x14ac:dyDescent="0.35">
      <c r="A201" s="8" t="s">
        <v>293</v>
      </c>
      <c r="B201" s="4" t="s">
        <v>23</v>
      </c>
      <c r="C201" s="4" t="s">
        <v>639</v>
      </c>
      <c r="D201" s="4" t="s">
        <v>640</v>
      </c>
      <c r="E201" s="4" t="s">
        <v>292</v>
      </c>
      <c r="F201" s="4" t="s">
        <v>641</v>
      </c>
      <c r="G201" s="5">
        <v>42669</v>
      </c>
      <c r="H201" s="52">
        <v>0.5625</v>
      </c>
      <c r="I201" s="56">
        <v>0.58333333333333337</v>
      </c>
      <c r="J201" s="4">
        <v>30</v>
      </c>
      <c r="K201" s="43"/>
      <c r="L201" s="52">
        <v>0.5625</v>
      </c>
      <c r="M201" s="56">
        <v>0.58333333333333337</v>
      </c>
      <c r="N201" s="4">
        <v>30</v>
      </c>
      <c r="O201" s="6" t="s">
        <v>179</v>
      </c>
      <c r="P201" s="4" t="s">
        <v>50</v>
      </c>
      <c r="Q201" s="4"/>
      <c r="R201" s="4"/>
      <c r="S201" s="50">
        <v>1</v>
      </c>
      <c r="T201" s="48">
        <v>40</v>
      </c>
      <c r="U201" s="4">
        <v>48</v>
      </c>
      <c r="V201" s="4">
        <f t="shared" si="6"/>
        <v>40</v>
      </c>
      <c r="W201" s="4">
        <f t="shared" si="7"/>
        <v>48</v>
      </c>
      <c r="X201" s="4"/>
      <c r="Y201" s="4"/>
    </row>
    <row r="202" spans="1:25" x14ac:dyDescent="0.35">
      <c r="A202" s="8" t="s">
        <v>112</v>
      </c>
      <c r="B202" s="4" t="s">
        <v>23</v>
      </c>
      <c r="C202" s="4" t="s">
        <v>300</v>
      </c>
      <c r="D202" s="4" t="s">
        <v>301</v>
      </c>
      <c r="E202" s="4" t="s">
        <v>41</v>
      </c>
      <c r="F202" s="4" t="s">
        <v>302</v>
      </c>
      <c r="G202" s="5">
        <v>42669</v>
      </c>
      <c r="H202" s="52">
        <v>0.375</v>
      </c>
      <c r="I202" s="43">
        <v>0.41666666666666669</v>
      </c>
      <c r="J202" s="4">
        <v>60</v>
      </c>
      <c r="K202" s="43"/>
      <c r="L202" s="52">
        <v>0.375</v>
      </c>
      <c r="M202" s="43">
        <v>0.41666666666666669</v>
      </c>
      <c r="N202" s="4">
        <v>60</v>
      </c>
      <c r="O202" s="14" t="s">
        <v>59</v>
      </c>
      <c r="P202" s="4" t="s">
        <v>60</v>
      </c>
      <c r="Q202" s="4"/>
      <c r="R202" s="4"/>
      <c r="S202" s="53">
        <v>1</v>
      </c>
      <c r="T202" s="48">
        <v>30</v>
      </c>
      <c r="U202" s="4">
        <v>48</v>
      </c>
      <c r="V202" s="4">
        <f t="shared" si="6"/>
        <v>30</v>
      </c>
      <c r="W202" s="4">
        <f t="shared" si="7"/>
        <v>48</v>
      </c>
      <c r="X202" s="4"/>
      <c r="Y202" s="4"/>
    </row>
    <row r="203" spans="1:25" x14ac:dyDescent="0.35">
      <c r="A203" s="8" t="s">
        <v>112</v>
      </c>
      <c r="B203" s="4" t="s">
        <v>86</v>
      </c>
      <c r="C203" s="4" t="s">
        <v>300</v>
      </c>
      <c r="D203" s="4" t="s">
        <v>301</v>
      </c>
      <c r="E203" s="4" t="s">
        <v>41</v>
      </c>
      <c r="F203" s="4" t="s">
        <v>302</v>
      </c>
      <c r="G203" s="5">
        <v>42669</v>
      </c>
      <c r="H203" s="45">
        <v>0.41666666666666669</v>
      </c>
      <c r="I203" s="56">
        <v>0.52083333333333337</v>
      </c>
      <c r="J203" s="4">
        <v>150</v>
      </c>
      <c r="K203" s="43"/>
      <c r="L203" s="45">
        <v>0.41666666666666669</v>
      </c>
      <c r="M203" s="56">
        <v>0.52083333333333337</v>
      </c>
      <c r="N203" s="4">
        <v>150</v>
      </c>
      <c r="O203" s="14" t="s">
        <v>93</v>
      </c>
      <c r="P203" s="4" t="s">
        <v>303</v>
      </c>
      <c r="Q203" s="4"/>
      <c r="R203" s="4"/>
      <c r="S203" s="50">
        <v>3.5</v>
      </c>
      <c r="T203" s="48">
        <v>30</v>
      </c>
      <c r="U203" s="4">
        <v>48</v>
      </c>
      <c r="V203" s="4">
        <f t="shared" si="6"/>
        <v>105</v>
      </c>
      <c r="W203" s="4">
        <f t="shared" si="7"/>
        <v>168</v>
      </c>
      <c r="X203" s="4" t="s">
        <v>712</v>
      </c>
      <c r="Y203" s="4"/>
    </row>
    <row r="204" spans="1:25" x14ac:dyDescent="0.35">
      <c r="A204" s="8" t="s">
        <v>112</v>
      </c>
      <c r="B204" s="4" t="s">
        <v>23</v>
      </c>
      <c r="C204" s="4" t="s">
        <v>686</v>
      </c>
      <c r="D204" s="4" t="s">
        <v>687</v>
      </c>
      <c r="E204" s="4" t="s">
        <v>41</v>
      </c>
      <c r="F204" s="4" t="s">
        <v>688</v>
      </c>
      <c r="G204" s="5">
        <v>42669</v>
      </c>
      <c r="H204" s="52">
        <v>0.66666666666666663</v>
      </c>
      <c r="I204" s="56">
        <v>0.6875</v>
      </c>
      <c r="J204" s="4">
        <v>30</v>
      </c>
      <c r="K204" s="43"/>
      <c r="L204" s="52">
        <v>0.66666666666666663</v>
      </c>
      <c r="M204" s="56">
        <v>0.6875</v>
      </c>
      <c r="N204" s="4">
        <v>30</v>
      </c>
      <c r="O204" s="6" t="s">
        <v>49</v>
      </c>
      <c r="P204" s="4" t="s">
        <v>50</v>
      </c>
      <c r="Q204" s="4"/>
      <c r="R204" s="4"/>
      <c r="S204" s="50">
        <v>1</v>
      </c>
      <c r="T204" s="48">
        <v>30</v>
      </c>
      <c r="U204" s="4">
        <v>48</v>
      </c>
      <c r="V204" s="4">
        <f t="shared" si="6"/>
        <v>30</v>
      </c>
      <c r="W204" s="4">
        <f t="shared" si="7"/>
        <v>48</v>
      </c>
      <c r="X204" s="4"/>
      <c r="Y204" s="4"/>
    </row>
    <row r="205" spans="1:25" x14ac:dyDescent="0.35">
      <c r="A205" s="8" t="s">
        <v>112</v>
      </c>
      <c r="B205" s="10" t="s">
        <v>86</v>
      </c>
      <c r="C205" s="4" t="s">
        <v>245</v>
      </c>
      <c r="D205" s="4" t="s">
        <v>246</v>
      </c>
      <c r="E205" s="4" t="s">
        <v>41</v>
      </c>
      <c r="F205" s="4" t="s">
        <v>247</v>
      </c>
      <c r="G205" s="5">
        <v>42670</v>
      </c>
      <c r="H205" s="52">
        <v>0.41666666666666669</v>
      </c>
      <c r="I205" s="56">
        <v>0.42708333333333337</v>
      </c>
      <c r="J205" s="4">
        <v>15</v>
      </c>
      <c r="K205" s="43"/>
      <c r="L205" s="52">
        <v>0.41666666666666669</v>
      </c>
      <c r="M205" s="56">
        <v>0.42708333333333337</v>
      </c>
      <c r="N205" s="4">
        <v>15</v>
      </c>
      <c r="O205" s="6" t="s">
        <v>26</v>
      </c>
      <c r="P205" s="4" t="s">
        <v>169</v>
      </c>
      <c r="Q205" s="4"/>
      <c r="R205" s="4"/>
      <c r="S205" s="50">
        <v>1</v>
      </c>
      <c r="T205" s="48">
        <v>30</v>
      </c>
      <c r="U205" s="4">
        <v>48</v>
      </c>
      <c r="V205" s="4">
        <f t="shared" si="6"/>
        <v>30</v>
      </c>
      <c r="W205" s="4">
        <f t="shared" si="7"/>
        <v>48</v>
      </c>
      <c r="X205" s="4"/>
      <c r="Y205" s="4"/>
    </row>
    <row r="206" spans="1:25" x14ac:dyDescent="0.35">
      <c r="A206" s="8" t="s">
        <v>346</v>
      </c>
      <c r="B206" s="4" t="s">
        <v>23</v>
      </c>
      <c r="C206" s="4" t="s">
        <v>245</v>
      </c>
      <c r="D206" s="4" t="s">
        <v>246</v>
      </c>
      <c r="E206" s="4" t="s">
        <v>41</v>
      </c>
      <c r="F206" s="4" t="s">
        <v>247</v>
      </c>
      <c r="G206" s="5">
        <v>42668</v>
      </c>
      <c r="H206" s="52">
        <v>0.5625</v>
      </c>
      <c r="I206" s="43">
        <v>0.58333333333333337</v>
      </c>
      <c r="J206" s="4">
        <v>30</v>
      </c>
      <c r="K206" s="43"/>
      <c r="L206" s="52">
        <v>0.5625</v>
      </c>
      <c r="M206" s="43">
        <v>0.58333333333333337</v>
      </c>
      <c r="N206" s="4">
        <v>30</v>
      </c>
      <c r="O206" s="6" t="s">
        <v>156</v>
      </c>
      <c r="P206" s="4" t="s">
        <v>50</v>
      </c>
      <c r="Q206" s="4"/>
      <c r="R206" s="4"/>
      <c r="S206" s="53">
        <v>0.5</v>
      </c>
      <c r="T206" s="48">
        <v>32</v>
      </c>
      <c r="U206" s="4">
        <v>48</v>
      </c>
      <c r="V206" s="4">
        <f t="shared" si="6"/>
        <v>16</v>
      </c>
      <c r="W206" s="4">
        <f t="shared" si="7"/>
        <v>24</v>
      </c>
      <c r="X206" s="4"/>
      <c r="Y206" s="4"/>
    </row>
    <row r="207" spans="1:25" x14ac:dyDescent="0.35">
      <c r="A207" s="8" t="s">
        <v>346</v>
      </c>
      <c r="B207" s="4" t="s">
        <v>23</v>
      </c>
      <c r="C207" s="4" t="s">
        <v>245</v>
      </c>
      <c r="D207" s="4" t="s">
        <v>246</v>
      </c>
      <c r="E207" s="4" t="s">
        <v>41</v>
      </c>
      <c r="F207" s="4" t="s">
        <v>247</v>
      </c>
      <c r="G207" s="5">
        <v>42668</v>
      </c>
      <c r="H207" s="45">
        <v>0.60416666666666663</v>
      </c>
      <c r="I207" s="56">
        <v>0.8125</v>
      </c>
      <c r="J207" s="4">
        <v>300</v>
      </c>
      <c r="K207" s="43"/>
      <c r="L207" s="45">
        <v>0.60416666666666663</v>
      </c>
      <c r="M207" s="56">
        <v>0.8125</v>
      </c>
      <c r="N207" s="4">
        <v>300</v>
      </c>
      <c r="O207" s="6" t="s">
        <v>26</v>
      </c>
      <c r="P207" s="4" t="s">
        <v>535</v>
      </c>
      <c r="Q207" s="4"/>
      <c r="R207" s="4"/>
      <c r="S207" s="50">
        <v>6</v>
      </c>
      <c r="T207" s="48">
        <v>32</v>
      </c>
      <c r="U207" s="4">
        <v>48</v>
      </c>
      <c r="V207" s="4">
        <f t="shared" si="6"/>
        <v>192</v>
      </c>
      <c r="W207" s="4">
        <f t="shared" si="7"/>
        <v>288</v>
      </c>
      <c r="X207" s="4"/>
      <c r="Y207" s="4"/>
    </row>
    <row r="208" spans="1:25" x14ac:dyDescent="0.35">
      <c r="A208" s="8" t="s">
        <v>346</v>
      </c>
      <c r="B208" s="4" t="s">
        <v>23</v>
      </c>
      <c r="C208" s="4" t="s">
        <v>143</v>
      </c>
      <c r="D208" s="4" t="s">
        <v>144</v>
      </c>
      <c r="E208" s="4" t="s">
        <v>41</v>
      </c>
      <c r="F208" s="4" t="s">
        <v>145</v>
      </c>
      <c r="G208" s="5">
        <v>42669</v>
      </c>
      <c r="H208" s="52">
        <v>0.45833333333333331</v>
      </c>
      <c r="I208" s="56">
        <v>0.5</v>
      </c>
      <c r="J208" s="4">
        <v>60</v>
      </c>
      <c r="K208" s="43"/>
      <c r="L208" s="52">
        <v>0.45833333333333331</v>
      </c>
      <c r="M208" s="56">
        <v>0.5</v>
      </c>
      <c r="N208" s="4">
        <v>60</v>
      </c>
      <c r="O208" s="4" t="s">
        <v>163</v>
      </c>
      <c r="P208" s="4" t="s">
        <v>586</v>
      </c>
      <c r="Q208" s="4"/>
      <c r="R208" s="4"/>
      <c r="S208" s="50">
        <v>1</v>
      </c>
      <c r="T208" s="48">
        <v>32</v>
      </c>
      <c r="U208" s="4">
        <v>48</v>
      </c>
      <c r="V208" s="4">
        <f t="shared" si="6"/>
        <v>32</v>
      </c>
      <c r="W208" s="4">
        <f t="shared" si="7"/>
        <v>48</v>
      </c>
      <c r="X208" s="4"/>
      <c r="Y208" s="4"/>
    </row>
    <row r="209" spans="1:25" x14ac:dyDescent="0.35">
      <c r="A209" s="8" t="s">
        <v>346</v>
      </c>
      <c r="B209" s="4" t="s">
        <v>23</v>
      </c>
      <c r="C209" s="4" t="s">
        <v>245</v>
      </c>
      <c r="D209" s="4" t="s">
        <v>246</v>
      </c>
      <c r="E209" s="4" t="s">
        <v>41</v>
      </c>
      <c r="F209" s="4" t="s">
        <v>247</v>
      </c>
      <c r="G209" s="5">
        <v>42669</v>
      </c>
      <c r="H209" s="52">
        <v>0.41666666666666669</v>
      </c>
      <c r="I209" s="56">
        <v>0.45833333333333337</v>
      </c>
      <c r="J209" s="4">
        <v>60</v>
      </c>
      <c r="K209" s="43"/>
      <c r="L209" s="52">
        <v>0.41666666666666669</v>
      </c>
      <c r="M209" s="56">
        <v>0.45833333333333337</v>
      </c>
      <c r="N209" s="4">
        <v>60</v>
      </c>
      <c r="O209" s="6" t="s">
        <v>26</v>
      </c>
      <c r="P209" s="4" t="s">
        <v>596</v>
      </c>
      <c r="Q209" s="4"/>
      <c r="R209" s="4"/>
      <c r="S209" s="50">
        <v>1</v>
      </c>
      <c r="T209" s="48">
        <v>32</v>
      </c>
      <c r="U209" s="4">
        <v>48</v>
      </c>
      <c r="V209" s="4">
        <f t="shared" si="6"/>
        <v>32</v>
      </c>
      <c r="W209" s="4">
        <f t="shared" si="7"/>
        <v>48</v>
      </c>
      <c r="X209" s="4"/>
      <c r="Y209" s="4"/>
    </row>
    <row r="210" spans="1:25" x14ac:dyDescent="0.35">
      <c r="A210" s="8" t="s">
        <v>176</v>
      </c>
      <c r="B210" s="4" t="s">
        <v>23</v>
      </c>
      <c r="C210" s="4" t="s">
        <v>226</v>
      </c>
      <c r="D210" s="4" t="s">
        <v>466</v>
      </c>
      <c r="E210" s="4" t="s">
        <v>37</v>
      </c>
      <c r="F210" s="4" t="s">
        <v>467</v>
      </c>
      <c r="G210" s="5">
        <v>42669</v>
      </c>
      <c r="H210" s="52">
        <v>0.41666666666666669</v>
      </c>
      <c r="I210" s="43">
        <v>0.4375</v>
      </c>
      <c r="J210" s="4">
        <v>30</v>
      </c>
      <c r="K210" s="43"/>
      <c r="L210" s="52">
        <v>0.41666666666666669</v>
      </c>
      <c r="M210" s="43">
        <v>0.4375</v>
      </c>
      <c r="N210" s="4">
        <v>30</v>
      </c>
      <c r="O210" s="6" t="s">
        <v>49</v>
      </c>
      <c r="P210" s="4" t="s">
        <v>50</v>
      </c>
      <c r="Q210" s="4"/>
      <c r="R210" s="4"/>
      <c r="S210" s="53">
        <v>0.5</v>
      </c>
      <c r="T210" s="48">
        <v>38</v>
      </c>
      <c r="U210" s="4">
        <v>48</v>
      </c>
      <c r="V210" s="4">
        <f t="shared" si="6"/>
        <v>19</v>
      </c>
      <c r="W210" s="4">
        <f t="shared" si="7"/>
        <v>24</v>
      </c>
      <c r="X210" s="4"/>
      <c r="Y210" s="4"/>
    </row>
    <row r="211" spans="1:25" x14ac:dyDescent="0.35">
      <c r="A211" s="8" t="s">
        <v>176</v>
      </c>
      <c r="B211" s="4" t="s">
        <v>23</v>
      </c>
      <c r="C211" s="4" t="s">
        <v>226</v>
      </c>
      <c r="D211" s="4" t="s">
        <v>466</v>
      </c>
      <c r="E211" s="4" t="s">
        <v>37</v>
      </c>
      <c r="F211" s="4" t="s">
        <v>467</v>
      </c>
      <c r="G211" s="5">
        <v>42669</v>
      </c>
      <c r="H211" s="45">
        <v>0.47916666666666669</v>
      </c>
      <c r="I211" s="56">
        <v>0.58333333333333337</v>
      </c>
      <c r="J211" s="4">
        <v>150</v>
      </c>
      <c r="K211" s="43"/>
      <c r="L211" s="45">
        <v>0.47916666666666669</v>
      </c>
      <c r="M211" s="56">
        <v>0.58333333333333337</v>
      </c>
      <c r="N211" s="4">
        <v>150</v>
      </c>
      <c r="O211" s="6" t="s">
        <v>323</v>
      </c>
      <c r="P211" s="4" t="s">
        <v>632</v>
      </c>
      <c r="Q211" s="59" t="s">
        <v>809</v>
      </c>
      <c r="R211" s="4"/>
      <c r="S211" s="50">
        <v>4</v>
      </c>
      <c r="T211" s="48">
        <v>38</v>
      </c>
      <c r="U211" s="4">
        <v>48</v>
      </c>
      <c r="V211" s="4">
        <f t="shared" si="6"/>
        <v>152</v>
      </c>
      <c r="W211" s="4">
        <f t="shared" si="7"/>
        <v>192</v>
      </c>
      <c r="X211" s="4"/>
      <c r="Y211" s="4"/>
    </row>
    <row r="212" spans="1:25" x14ac:dyDescent="0.35">
      <c r="A212" s="20" t="s">
        <v>176</v>
      </c>
      <c r="B212" s="4" t="s">
        <v>23</v>
      </c>
      <c r="C212" s="4" t="s">
        <v>200</v>
      </c>
      <c r="D212" s="4" t="s">
        <v>758</v>
      </c>
      <c r="E212" s="4" t="s">
        <v>37</v>
      </c>
      <c r="F212" s="4" t="s">
        <v>759</v>
      </c>
      <c r="G212" s="5">
        <v>42670</v>
      </c>
      <c r="H212" s="52">
        <v>0.625</v>
      </c>
      <c r="I212" s="56">
        <v>0.64583333333333337</v>
      </c>
      <c r="J212" s="4">
        <v>30</v>
      </c>
      <c r="K212" s="43"/>
      <c r="L212" s="52">
        <v>0.625</v>
      </c>
      <c r="M212" s="56">
        <v>0.64583333333333337</v>
      </c>
      <c r="N212" s="4">
        <v>30</v>
      </c>
      <c r="O212" s="6" t="s">
        <v>156</v>
      </c>
      <c r="P212" s="4" t="s">
        <v>50</v>
      </c>
      <c r="Q212" s="4"/>
      <c r="R212" s="4"/>
      <c r="S212" s="50">
        <v>1</v>
      </c>
      <c r="T212" s="48">
        <v>38</v>
      </c>
      <c r="U212" s="4">
        <v>48</v>
      </c>
      <c r="V212" s="4">
        <f t="shared" si="6"/>
        <v>38</v>
      </c>
      <c r="W212" s="4">
        <f t="shared" si="7"/>
        <v>48</v>
      </c>
      <c r="X212" s="4"/>
      <c r="Y212" s="4"/>
    </row>
    <row r="213" spans="1:25" x14ac:dyDescent="0.35">
      <c r="A213" s="20" t="s">
        <v>176</v>
      </c>
      <c r="B213" s="4" t="s">
        <v>23</v>
      </c>
      <c r="C213" s="4" t="s">
        <v>200</v>
      </c>
      <c r="D213" s="4" t="s">
        <v>403</v>
      </c>
      <c r="E213" s="4" t="s">
        <v>37</v>
      </c>
      <c r="F213" s="4" t="s">
        <v>404</v>
      </c>
      <c r="G213" s="5">
        <v>42670</v>
      </c>
      <c r="H213" s="52">
        <v>0.64583333333333337</v>
      </c>
      <c r="I213" s="56">
        <v>0.66666666666666674</v>
      </c>
      <c r="J213" s="4">
        <v>30</v>
      </c>
      <c r="K213" s="43"/>
      <c r="L213" s="52">
        <v>0.64583333333333337</v>
      </c>
      <c r="M213" s="56">
        <v>0.66666666666666674</v>
      </c>
      <c r="N213" s="4">
        <v>30</v>
      </c>
      <c r="O213" s="6" t="s">
        <v>156</v>
      </c>
      <c r="P213" s="4" t="s">
        <v>50</v>
      </c>
      <c r="Q213" s="4"/>
      <c r="R213" s="4"/>
      <c r="S213" s="50">
        <v>1</v>
      </c>
      <c r="T213" s="48">
        <v>38</v>
      </c>
      <c r="U213" s="4">
        <v>48</v>
      </c>
      <c r="V213" s="4">
        <f t="shared" si="6"/>
        <v>38</v>
      </c>
      <c r="W213" s="4">
        <f t="shared" si="7"/>
        <v>48</v>
      </c>
      <c r="X213" s="4"/>
      <c r="Y213" s="4"/>
    </row>
    <row r="214" spans="1:25" x14ac:dyDescent="0.35">
      <c r="A214" s="8" t="s">
        <v>590</v>
      </c>
      <c r="B214" s="4" t="s">
        <v>23</v>
      </c>
      <c r="C214" s="4" t="s">
        <v>294</v>
      </c>
      <c r="D214" s="4" t="s">
        <v>295</v>
      </c>
      <c r="E214" s="4" t="s">
        <v>41</v>
      </c>
      <c r="F214" s="4" t="s">
        <v>296</v>
      </c>
      <c r="G214" s="5">
        <v>42669</v>
      </c>
      <c r="H214" s="52">
        <v>0.39583333333333331</v>
      </c>
      <c r="I214" s="56">
        <v>0.41666666666666663</v>
      </c>
      <c r="J214" s="4">
        <v>30</v>
      </c>
      <c r="K214" s="43"/>
      <c r="L214" s="52">
        <v>0.39583333333333331</v>
      </c>
      <c r="M214" s="56">
        <v>0.41666666666666663</v>
      </c>
      <c r="N214" s="4">
        <v>30</v>
      </c>
      <c r="O214" s="6" t="s">
        <v>156</v>
      </c>
      <c r="P214" s="4" t="s">
        <v>269</v>
      </c>
      <c r="Q214" s="4"/>
      <c r="R214" s="4"/>
      <c r="S214" s="50">
        <v>1</v>
      </c>
      <c r="T214" s="48">
        <v>25</v>
      </c>
      <c r="U214" s="4">
        <v>48</v>
      </c>
      <c r="V214" s="4">
        <f t="shared" si="6"/>
        <v>25</v>
      </c>
      <c r="W214" s="4">
        <f t="shared" si="7"/>
        <v>48</v>
      </c>
      <c r="X214" s="4"/>
      <c r="Y214" s="4"/>
    </row>
    <row r="215" spans="1:25" x14ac:dyDescent="0.35">
      <c r="A215" s="8" t="s">
        <v>48</v>
      </c>
      <c r="B215" s="4" t="s">
        <v>23</v>
      </c>
      <c r="C215" s="4" t="s">
        <v>383</v>
      </c>
      <c r="D215" s="4" t="s">
        <v>722</v>
      </c>
      <c r="E215" s="4" t="s">
        <v>723</v>
      </c>
      <c r="F215" s="4" t="s">
        <v>724</v>
      </c>
      <c r="G215" s="5">
        <v>42670</v>
      </c>
      <c r="H215" s="52">
        <v>0.41666666666666669</v>
      </c>
      <c r="I215" s="43">
        <v>0.4375</v>
      </c>
      <c r="J215" s="4">
        <v>30</v>
      </c>
      <c r="K215" s="43"/>
      <c r="L215" s="52">
        <v>0.41666666666666669</v>
      </c>
      <c r="M215" s="43">
        <v>0.4375</v>
      </c>
      <c r="N215" s="4">
        <v>30</v>
      </c>
      <c r="O215" s="6" t="s">
        <v>49</v>
      </c>
      <c r="P215" s="4" t="s">
        <v>50</v>
      </c>
      <c r="Q215" s="4"/>
      <c r="R215" s="4"/>
      <c r="S215" s="53">
        <v>0.5</v>
      </c>
      <c r="T215" s="48">
        <v>30</v>
      </c>
      <c r="U215" s="4">
        <v>48</v>
      </c>
      <c r="V215" s="4">
        <f t="shared" si="6"/>
        <v>15</v>
      </c>
      <c r="W215" s="4">
        <f t="shared" si="7"/>
        <v>24</v>
      </c>
      <c r="X215" s="4"/>
      <c r="Y215" s="4"/>
    </row>
    <row r="216" spans="1:25" x14ac:dyDescent="0.35">
      <c r="A216" s="8" t="s">
        <v>48</v>
      </c>
      <c r="B216" s="4" t="s">
        <v>23</v>
      </c>
      <c r="C216" s="4" t="s">
        <v>383</v>
      </c>
      <c r="D216" s="4" t="s">
        <v>722</v>
      </c>
      <c r="E216" s="4" t="s">
        <v>723</v>
      </c>
      <c r="F216" s="4" t="s">
        <v>724</v>
      </c>
      <c r="G216" s="5">
        <v>42670</v>
      </c>
      <c r="H216" s="45">
        <v>0.47916666666666669</v>
      </c>
      <c r="I216" s="56">
        <v>0.54166666666666674</v>
      </c>
      <c r="J216" s="4">
        <v>90</v>
      </c>
      <c r="K216" s="43"/>
      <c r="L216" s="45">
        <v>0.47916666666666669</v>
      </c>
      <c r="M216" s="56">
        <v>0.54166666666666674</v>
      </c>
      <c r="N216" s="4">
        <v>90</v>
      </c>
      <c r="O216" s="6" t="s">
        <v>26</v>
      </c>
      <c r="P216" s="4" t="s">
        <v>192</v>
      </c>
      <c r="Q216" s="59" t="s">
        <v>809</v>
      </c>
      <c r="R216" s="4"/>
      <c r="S216" s="50">
        <v>3</v>
      </c>
      <c r="T216" s="48">
        <v>30</v>
      </c>
      <c r="U216" s="4">
        <v>48</v>
      </c>
      <c r="V216" s="4">
        <f t="shared" si="6"/>
        <v>90</v>
      </c>
      <c r="W216" s="4">
        <f t="shared" si="7"/>
        <v>144</v>
      </c>
      <c r="X216" s="4"/>
      <c r="Y216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Example From Master</vt:lpstr>
      <vt:lpstr>InterpBilling</vt:lpstr>
      <vt:lpstr>InterpBilling (11)</vt:lpstr>
      <vt:lpstr>InterpBilling (10)</vt:lpstr>
      <vt:lpstr>InterpBilling (9)</vt:lpstr>
      <vt:lpstr>InterpBilling (8)</vt:lpstr>
      <vt:lpstr>InterpBilling (7)</vt:lpstr>
      <vt:lpstr>InterpBilling (6)</vt:lpstr>
      <vt:lpstr>InterpBilling (5)</vt:lpstr>
      <vt:lpstr>InterpBilling (4)</vt:lpstr>
      <vt:lpstr>InterpBilling (3)</vt:lpstr>
      <vt:lpstr>InterpBilling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Suenne Dixon</dc:creator>
  <cp:lastModifiedBy>Sergei Gringauze</cp:lastModifiedBy>
  <dcterms:created xsi:type="dcterms:W3CDTF">2016-10-28T21:37:03Z</dcterms:created>
  <dcterms:modified xsi:type="dcterms:W3CDTF">2017-02-02T04:35:32Z</dcterms:modified>
</cp:coreProperties>
</file>